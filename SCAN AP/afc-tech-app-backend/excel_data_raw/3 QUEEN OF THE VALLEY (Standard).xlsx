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Y:\01 AFC STANDARDIZED SURVEYS\"/>
    </mc:Choice>
  </mc:AlternateContent>
  <xr:revisionPtr revIDLastSave="0" documentId="13_ncr:1_{3C563C62-17D3-4A4B-81EB-7C53A39C787E}" xr6:coauthVersionLast="47" xr6:coauthVersionMax="47" xr10:uidLastSave="{00000000-0000-0000-0000-000000000000}"/>
  <bookViews>
    <workbookView xWindow="25974" yWindow="-109" windowWidth="26301" windowHeight="14169" xr2:uid="{966981E9-25B7-46A5-B010-291BC53D26B0}"/>
  </bookViews>
  <sheets>
    <sheet name="MAIN BUILDING" sheetId="5" r:id="rId1"/>
    <sheet name="Filter" sheetId="7" r:id="rId2"/>
  </sheets>
  <definedNames>
    <definedName name="_xlnm._FilterDatabase" localSheetId="1" hidden="1">Filter!$B$5:$Q$2046</definedName>
    <definedName name="_xlnm._FilterDatabase" localSheetId="0" hidden="1">'MAIN BUILDING'!$B$5:$Q$36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5" l="1" a="1"/>
  <c r="O6" i="5" s="1"/>
  <c r="O144" i="5" a="1"/>
  <c r="O144" i="5" s="1"/>
  <c r="K252" i="5"/>
  <c r="O212" i="5" a="1"/>
  <c r="O212" i="5" s="1"/>
  <c r="O214" i="5" a="1"/>
  <c r="O214" i="5" s="1"/>
  <c r="O8" i="5" a="1"/>
  <c r="O8" i="5" s="1"/>
  <c r="O9" i="5" a="1"/>
  <c r="O9" i="5" s="1"/>
  <c r="O10" i="5" a="1"/>
  <c r="O10" i="5" s="1"/>
  <c r="O11" i="5" a="1"/>
  <c r="O11" i="5" s="1"/>
  <c r="O12" i="5" a="1"/>
  <c r="O12" i="5" s="1"/>
  <c r="O13" i="5" a="1"/>
  <c r="O13" i="5" s="1"/>
  <c r="O14" i="5" a="1"/>
  <c r="O14" i="5" s="1"/>
  <c r="O15" i="5" a="1"/>
  <c r="O15" i="5" s="1"/>
  <c r="O16" i="5" a="1"/>
  <c r="O16" i="5" s="1"/>
  <c r="O17" i="5" a="1"/>
  <c r="O17" i="5" s="1"/>
  <c r="O18" i="5" a="1"/>
  <c r="O18" i="5" s="1"/>
  <c r="O19" i="5" a="1"/>
  <c r="O19" i="5" s="1"/>
  <c r="O20" i="5" a="1"/>
  <c r="O20" i="5" s="1"/>
  <c r="O21" i="5" a="1"/>
  <c r="O21" i="5" s="1"/>
  <c r="O22" i="5" a="1"/>
  <c r="O22" i="5" s="1"/>
  <c r="O23" i="5" a="1"/>
  <c r="O23" i="5" s="1"/>
  <c r="O24" i="5" a="1"/>
  <c r="O24" i="5" s="1"/>
  <c r="O25" i="5" a="1"/>
  <c r="O25" i="5" s="1"/>
  <c r="O26" i="5" a="1"/>
  <c r="O26" i="5" s="1"/>
  <c r="O27" i="5" a="1"/>
  <c r="O27" i="5" s="1"/>
  <c r="O28" i="5" a="1"/>
  <c r="O28" i="5" s="1"/>
  <c r="O29" i="5" a="1"/>
  <c r="O29" i="5" s="1"/>
  <c r="O30" i="5" a="1"/>
  <c r="O30" i="5" s="1"/>
  <c r="O31" i="5" a="1"/>
  <c r="O31" i="5" s="1"/>
  <c r="O32" i="5" a="1"/>
  <c r="O32" i="5" s="1"/>
  <c r="O33" i="5" a="1"/>
  <c r="O33" i="5" s="1"/>
  <c r="O34" i="5" a="1"/>
  <c r="O34" i="5" s="1"/>
  <c r="O35" i="5" a="1"/>
  <c r="O35" i="5" s="1"/>
  <c r="O36" i="5" a="1"/>
  <c r="O36" i="5" s="1"/>
  <c r="O37" i="5" a="1"/>
  <c r="O37" i="5" s="1"/>
  <c r="O38" i="5" a="1"/>
  <c r="O38" i="5" s="1"/>
  <c r="O39" i="5" a="1"/>
  <c r="O39" i="5" s="1"/>
  <c r="O40" i="5" a="1"/>
  <c r="O40" i="5" s="1"/>
  <c r="O41" i="5" a="1"/>
  <c r="O41" i="5" s="1"/>
  <c r="O42" i="5" a="1"/>
  <c r="O42" i="5" s="1"/>
  <c r="O43" i="5" a="1"/>
  <c r="O43" i="5" s="1"/>
  <c r="O44" i="5" a="1"/>
  <c r="O44" i="5" s="1"/>
  <c r="O45" i="5" a="1"/>
  <c r="O45" i="5" s="1"/>
  <c r="O46" i="5" a="1"/>
  <c r="O46" i="5" s="1"/>
  <c r="O47" i="5" a="1"/>
  <c r="O47" i="5" s="1"/>
  <c r="O48" i="5" a="1"/>
  <c r="O48" i="5" s="1"/>
  <c r="O49" i="5" a="1"/>
  <c r="O49" i="5" s="1"/>
  <c r="O50" i="5" a="1"/>
  <c r="O50" i="5" s="1"/>
  <c r="O51" i="5" a="1"/>
  <c r="O51" i="5" s="1"/>
  <c r="O52" i="5" a="1"/>
  <c r="O52" i="5" s="1"/>
  <c r="O53" i="5" a="1"/>
  <c r="O53" i="5" s="1"/>
  <c r="O54" i="5" a="1"/>
  <c r="O54" i="5" s="1"/>
  <c r="O55" i="5" a="1"/>
  <c r="O55" i="5" s="1"/>
  <c r="O56" i="5" a="1"/>
  <c r="O56" i="5" s="1"/>
  <c r="O57" i="5" a="1"/>
  <c r="O57" i="5" s="1"/>
  <c r="O58" i="5" a="1"/>
  <c r="O58" i="5" s="1"/>
  <c r="O59" i="5" a="1"/>
  <c r="O59" i="5" s="1"/>
  <c r="O60" i="5" a="1"/>
  <c r="O60" i="5" s="1"/>
  <c r="O61" i="5" a="1"/>
  <c r="O61" i="5" s="1"/>
  <c r="O62" i="5" a="1"/>
  <c r="O62" i="5" s="1"/>
  <c r="O63" i="5" a="1"/>
  <c r="O63" i="5" s="1"/>
  <c r="O64" i="5" a="1"/>
  <c r="O64" i="5" s="1"/>
  <c r="O65" i="5" a="1"/>
  <c r="O65" i="5" s="1"/>
  <c r="O66" i="5" a="1"/>
  <c r="O66" i="5" s="1"/>
  <c r="O67" i="5" a="1"/>
  <c r="O67" i="5" s="1"/>
  <c r="O68" i="5" a="1"/>
  <c r="O68" i="5" s="1"/>
  <c r="O69" i="5" a="1"/>
  <c r="O69" i="5" s="1"/>
  <c r="O70" i="5" a="1"/>
  <c r="O70" i="5" s="1"/>
  <c r="O71" i="5" a="1"/>
  <c r="O71" i="5" s="1"/>
  <c r="O72" i="5" a="1"/>
  <c r="O72" i="5" s="1"/>
  <c r="O73" i="5" a="1"/>
  <c r="O73" i="5" s="1"/>
  <c r="O74" i="5" a="1"/>
  <c r="O74" i="5" s="1"/>
  <c r="O75" i="5" a="1"/>
  <c r="O75" i="5" s="1"/>
  <c r="O76" i="5" a="1"/>
  <c r="O76" i="5" s="1"/>
  <c r="O77" i="5" a="1"/>
  <c r="O77" i="5" s="1"/>
  <c r="O78" i="5" a="1"/>
  <c r="O78" i="5" s="1"/>
  <c r="O79" i="5" a="1"/>
  <c r="O79" i="5" s="1"/>
  <c r="O80" i="5" a="1"/>
  <c r="O80" i="5" s="1"/>
  <c r="O81" i="5" a="1"/>
  <c r="O81" i="5" s="1"/>
  <c r="O82" i="5" a="1"/>
  <c r="O82" i="5" s="1"/>
  <c r="O83" i="5" a="1"/>
  <c r="O83" i="5" s="1"/>
  <c r="O84" i="5" a="1"/>
  <c r="O84" i="5" s="1"/>
  <c r="O85" i="5" a="1"/>
  <c r="O85" i="5" s="1"/>
  <c r="O86" i="5" a="1"/>
  <c r="O86" i="5" s="1"/>
  <c r="O87" i="5" a="1"/>
  <c r="O87" i="5" s="1"/>
  <c r="O88" i="5" a="1"/>
  <c r="O88" i="5" s="1"/>
  <c r="O89" i="5" a="1"/>
  <c r="O89" i="5" s="1"/>
  <c r="O90" i="5" a="1"/>
  <c r="O90" i="5" s="1"/>
  <c r="O91" i="5" a="1"/>
  <c r="O91" i="5" s="1"/>
  <c r="O92" i="5" a="1"/>
  <c r="O92" i="5" s="1"/>
  <c r="O93" i="5" a="1"/>
  <c r="O93" i="5" s="1"/>
  <c r="O94" i="5" a="1"/>
  <c r="O94" i="5" s="1"/>
  <c r="O95" i="5" a="1"/>
  <c r="O95" i="5" s="1"/>
  <c r="O96" i="5" a="1"/>
  <c r="O96" i="5" s="1"/>
  <c r="O97" i="5" a="1"/>
  <c r="O97" i="5" s="1"/>
  <c r="O98" i="5" a="1"/>
  <c r="O98" i="5" s="1"/>
  <c r="O99" i="5" a="1"/>
  <c r="O99" i="5" s="1"/>
  <c r="O100" i="5" a="1"/>
  <c r="O100" i="5" s="1"/>
  <c r="O101" i="5" a="1"/>
  <c r="O101" i="5" s="1"/>
  <c r="O102" i="5" a="1"/>
  <c r="O102" i="5" s="1"/>
  <c r="O103" i="5" a="1"/>
  <c r="O103" i="5" s="1"/>
  <c r="O104" i="5" a="1"/>
  <c r="O104" i="5" s="1"/>
  <c r="O105" i="5" a="1"/>
  <c r="O105" i="5" s="1"/>
  <c r="O106" i="5" a="1"/>
  <c r="O106" i="5" s="1"/>
  <c r="O107" i="5" a="1"/>
  <c r="O107" i="5" s="1"/>
  <c r="O108" i="5" a="1"/>
  <c r="O108" i="5" s="1"/>
  <c r="O109" i="5" a="1"/>
  <c r="O109" i="5" s="1"/>
  <c r="O110" i="5" a="1"/>
  <c r="O110" i="5" s="1"/>
  <c r="O111" i="5" a="1"/>
  <c r="O111" i="5" s="1"/>
  <c r="O112" i="5" a="1"/>
  <c r="O112" i="5" s="1"/>
  <c r="O113" i="5" a="1"/>
  <c r="O113" i="5" s="1"/>
  <c r="O114" i="5" a="1"/>
  <c r="O114" i="5" s="1"/>
  <c r="O115" i="5" a="1"/>
  <c r="O115" i="5" s="1"/>
  <c r="O116" i="5" a="1"/>
  <c r="O116" i="5" s="1"/>
  <c r="O117" i="5" a="1"/>
  <c r="O117" i="5" s="1"/>
  <c r="O118" i="5" a="1"/>
  <c r="O118" i="5" s="1"/>
  <c r="O119" i="5" a="1"/>
  <c r="O119" i="5" s="1"/>
  <c r="O120" i="5" a="1"/>
  <c r="O120" i="5" s="1"/>
  <c r="O121" i="5" a="1"/>
  <c r="O121" i="5" s="1"/>
  <c r="O122" i="5" a="1"/>
  <c r="O122" i="5" s="1"/>
  <c r="O123" i="5" a="1"/>
  <c r="O123" i="5" s="1"/>
  <c r="O124" i="5" a="1"/>
  <c r="O124" i="5" s="1"/>
  <c r="O125" i="5" a="1"/>
  <c r="O125" i="5" s="1"/>
  <c r="O126" i="5" a="1"/>
  <c r="O126" i="5" s="1"/>
  <c r="O127" i="5" a="1"/>
  <c r="O127" i="5" s="1"/>
  <c r="O128" i="5" a="1"/>
  <c r="O128" i="5" s="1"/>
  <c r="O129" i="5" a="1"/>
  <c r="O129" i="5" s="1"/>
  <c r="O130" i="5" a="1"/>
  <c r="O130" i="5" s="1"/>
  <c r="O131" i="5" a="1"/>
  <c r="O131" i="5" s="1"/>
  <c r="O132" i="5" a="1"/>
  <c r="O132" i="5" s="1"/>
  <c r="O133" i="5" a="1"/>
  <c r="O133" i="5" s="1"/>
  <c r="O134" i="5" a="1"/>
  <c r="O134" i="5" s="1"/>
  <c r="O135" i="5" a="1"/>
  <c r="O135" i="5" s="1"/>
  <c r="O136" i="5" a="1"/>
  <c r="O136" i="5" s="1"/>
  <c r="O137" i="5" a="1"/>
  <c r="O137" i="5" s="1"/>
  <c r="O138" i="5" a="1"/>
  <c r="O138" i="5" s="1"/>
  <c r="O139" i="5" a="1"/>
  <c r="O139" i="5" s="1"/>
  <c r="O140" i="5" a="1"/>
  <c r="O140" i="5" s="1"/>
  <c r="O141" i="5" a="1"/>
  <c r="O141" i="5" s="1"/>
  <c r="O142" i="5" a="1"/>
  <c r="O142" i="5" s="1"/>
  <c r="O145" i="5" a="1"/>
  <c r="O145" i="5" s="1"/>
  <c r="O146" i="5" a="1"/>
  <c r="O146" i="5" s="1"/>
  <c r="O147" i="5" a="1"/>
  <c r="O147" i="5" s="1"/>
  <c r="O148" i="5" a="1"/>
  <c r="O148" i="5" s="1"/>
  <c r="O149" i="5" a="1"/>
  <c r="O149" i="5" s="1"/>
  <c r="O150" i="5" a="1"/>
  <c r="O150" i="5" s="1"/>
  <c r="O151" i="5" a="1"/>
  <c r="O151" i="5" s="1"/>
  <c r="O152" i="5" a="1"/>
  <c r="O152" i="5" s="1"/>
  <c r="O153" i="5" a="1"/>
  <c r="O153" i="5" s="1"/>
  <c r="O154" i="5" a="1"/>
  <c r="O154" i="5" s="1"/>
  <c r="O155" i="5" a="1"/>
  <c r="O155" i="5" s="1"/>
  <c r="O156" i="5" a="1"/>
  <c r="O156" i="5" s="1"/>
  <c r="O157" i="5" a="1"/>
  <c r="O157" i="5" s="1"/>
  <c r="O158" i="5" a="1"/>
  <c r="O158" i="5" s="1"/>
  <c r="O159" i="5" a="1"/>
  <c r="O159" i="5" s="1"/>
  <c r="O160" i="5" a="1"/>
  <c r="O160" i="5" s="1"/>
  <c r="O161" i="5" a="1"/>
  <c r="O161" i="5" s="1"/>
  <c r="O162" i="5" a="1"/>
  <c r="O162" i="5" s="1"/>
  <c r="O163" i="5" a="1"/>
  <c r="O163" i="5" s="1"/>
  <c r="O164" i="5" a="1"/>
  <c r="O164" i="5" s="1"/>
  <c r="O165" i="5" a="1"/>
  <c r="O165" i="5" s="1"/>
  <c r="O166" i="5" a="1"/>
  <c r="O166" i="5" s="1"/>
  <c r="O167" i="5" a="1"/>
  <c r="O167" i="5" s="1"/>
  <c r="O168" i="5" a="1"/>
  <c r="O168" i="5" s="1"/>
  <c r="O169" i="5" a="1"/>
  <c r="O169" i="5" s="1"/>
  <c r="O170" i="5" a="1"/>
  <c r="O170" i="5" s="1"/>
  <c r="O171" i="5" a="1"/>
  <c r="O171" i="5" s="1"/>
  <c r="O172" i="5" a="1"/>
  <c r="O172" i="5" s="1"/>
  <c r="O173" i="5" a="1"/>
  <c r="O173" i="5" s="1"/>
  <c r="O174" i="5" a="1"/>
  <c r="O174" i="5" s="1"/>
  <c r="O175" i="5" a="1"/>
  <c r="O175" i="5" s="1"/>
  <c r="O176" i="5" a="1"/>
  <c r="O176" i="5" s="1"/>
  <c r="O177" i="5" a="1"/>
  <c r="O177" i="5" s="1"/>
  <c r="O178" i="5" a="1"/>
  <c r="O178" i="5" s="1"/>
  <c r="O179" i="5" a="1"/>
  <c r="O179" i="5" s="1"/>
  <c r="O180" i="5" a="1"/>
  <c r="O180" i="5" s="1"/>
  <c r="O181" i="5" a="1"/>
  <c r="O181" i="5" s="1"/>
  <c r="O182" i="5" a="1"/>
  <c r="O182" i="5" s="1"/>
  <c r="O183" i="5" a="1"/>
  <c r="O183" i="5" s="1"/>
  <c r="O184" i="5" a="1"/>
  <c r="O184" i="5" s="1"/>
  <c r="O185" i="5" a="1"/>
  <c r="O185" i="5" s="1"/>
  <c r="O186" i="5" a="1"/>
  <c r="O186" i="5" s="1"/>
  <c r="O187" i="5" a="1"/>
  <c r="O187" i="5" s="1"/>
  <c r="O188" i="5" a="1"/>
  <c r="O188" i="5" s="1"/>
  <c r="O189" i="5" a="1"/>
  <c r="O189" i="5" s="1"/>
  <c r="O190" i="5" a="1"/>
  <c r="O190" i="5" s="1"/>
  <c r="O191" i="5" a="1"/>
  <c r="O191" i="5" s="1"/>
  <c r="O192" i="5" a="1"/>
  <c r="O192" i="5" s="1"/>
  <c r="O193" i="5" a="1"/>
  <c r="O193" i="5" s="1"/>
  <c r="O194" i="5" a="1"/>
  <c r="O194" i="5" s="1"/>
  <c r="O195" i="5" a="1"/>
  <c r="O195" i="5" s="1"/>
  <c r="O196" i="5" a="1"/>
  <c r="O196" i="5" s="1"/>
  <c r="O197" i="5" a="1"/>
  <c r="O197" i="5" s="1"/>
  <c r="O198" i="5" a="1"/>
  <c r="O198" i="5" s="1"/>
  <c r="O199" i="5" a="1"/>
  <c r="O199" i="5" s="1"/>
  <c r="O200" i="5" a="1"/>
  <c r="O200" i="5" s="1"/>
  <c r="O201" i="5" a="1"/>
  <c r="O201" i="5" s="1"/>
  <c r="O202" i="5" a="1"/>
  <c r="O202" i="5" s="1"/>
  <c r="O203" i="5" a="1"/>
  <c r="O203" i="5" s="1"/>
  <c r="O204" i="5" a="1"/>
  <c r="O204" i="5" s="1"/>
  <c r="O205" i="5" a="1"/>
  <c r="O205" i="5" s="1"/>
  <c r="O206" i="5" a="1"/>
  <c r="O206" i="5" s="1"/>
  <c r="O208" i="5" a="1"/>
  <c r="O208" i="5" s="1"/>
  <c r="O209" i="5" a="1"/>
  <c r="O209" i="5" s="1"/>
  <c r="O211" i="5" a="1"/>
  <c r="O211" i="5" s="1"/>
  <c r="O215" i="5" a="1"/>
  <c r="O215" i="5" s="1"/>
  <c r="O217" i="5" a="1"/>
  <c r="O217" i="5" s="1"/>
  <c r="O218" i="5" a="1"/>
  <c r="O218" i="5" s="1"/>
  <c r="O220" i="5" a="1"/>
  <c r="O220" i="5" s="1"/>
  <c r="O221" i="5" a="1"/>
  <c r="O221" i="5" s="1"/>
  <c r="O223" i="5" a="1"/>
  <c r="O223" i="5" s="1"/>
  <c r="O224" i="5" a="1"/>
  <c r="O224" i="5" s="1"/>
  <c r="O226" i="5" a="1"/>
  <c r="O226" i="5" s="1"/>
  <c r="O227" i="5" a="1"/>
  <c r="O227" i="5" s="1"/>
  <c r="O229" i="5" a="1"/>
  <c r="O229" i="5" s="1"/>
  <c r="O230" i="5" a="1"/>
  <c r="O230" i="5" s="1"/>
  <c r="O232" i="5" a="1"/>
  <c r="O232" i="5" s="1"/>
  <c r="O233" i="5" a="1"/>
  <c r="O233" i="5" s="1"/>
  <c r="O235" i="5" a="1"/>
  <c r="O235" i="5" s="1"/>
  <c r="O236" i="5" a="1"/>
  <c r="O236" i="5" s="1"/>
  <c r="O238" i="5" a="1"/>
  <c r="O238" i="5" s="1"/>
  <c r="O239" i="5" a="1"/>
  <c r="O239" i="5" s="1"/>
  <c r="O241" i="5" a="1"/>
  <c r="O241" i="5" s="1"/>
  <c r="O242" i="5" a="1"/>
  <c r="O242" i="5" s="1"/>
  <c r="O244" i="5" a="1"/>
  <c r="O244" i="5" s="1"/>
  <c r="O245" i="5" a="1"/>
  <c r="O245" i="5" s="1"/>
  <c r="O247" i="5" a="1"/>
  <c r="O247" i="5" s="1"/>
  <c r="O248" i="5" a="1"/>
  <c r="O248" i="5" s="1"/>
  <c r="O250" i="5" a="1"/>
  <c r="O250" i="5" s="1"/>
  <c r="O251" i="5" a="1"/>
  <c r="O251" i="5" s="1"/>
  <c r="O253" i="5" a="1"/>
  <c r="O253" i="5" s="1"/>
  <c r="O254" i="5" a="1"/>
  <c r="O254" i="5" s="1"/>
  <c r="O256" i="5" a="1"/>
  <c r="O256" i="5" s="1"/>
  <c r="O257" i="5" a="1"/>
  <c r="O257" i="5" s="1"/>
  <c r="O259" i="5" a="1"/>
  <c r="O259" i="5" s="1"/>
  <c r="O260" i="5" a="1"/>
  <c r="O260" i="5" s="1"/>
  <c r="O262" i="5" a="1"/>
  <c r="O262" i="5" s="1"/>
  <c r="O263" i="5" a="1"/>
  <c r="O263" i="5" s="1"/>
  <c r="O265" i="5" a="1"/>
  <c r="O265" i="5" s="1"/>
  <c r="O266" i="5" a="1"/>
  <c r="O266" i="5" s="1"/>
  <c r="O268" i="5" a="1"/>
  <c r="O268" i="5" s="1"/>
  <c r="O269" i="5" a="1"/>
  <c r="O269" i="5" s="1"/>
  <c r="O271" i="5" a="1"/>
  <c r="O271" i="5" s="1"/>
  <c r="O272" i="5" a="1"/>
  <c r="O272" i="5" s="1"/>
  <c r="O274" i="5" a="1"/>
  <c r="O274" i="5" s="1"/>
  <c r="O275" i="5" a="1"/>
  <c r="O275" i="5" s="1"/>
  <c r="O277" i="5" a="1"/>
  <c r="O277" i="5" s="1"/>
  <c r="O278" i="5" a="1"/>
  <c r="O278" i="5" s="1"/>
  <c r="O280" i="5" a="1"/>
  <c r="O280" i="5" s="1"/>
  <c r="O281" i="5" a="1"/>
  <c r="O281" i="5" s="1"/>
  <c r="O283" i="5" a="1"/>
  <c r="O283" i="5" s="1"/>
  <c r="O284" i="5" a="1"/>
  <c r="O284" i="5" s="1"/>
  <c r="O286" i="5" a="1"/>
  <c r="O286" i="5" s="1"/>
  <c r="O287" i="5" a="1"/>
  <c r="O287" i="5" s="1"/>
  <c r="O288" i="5" a="1"/>
  <c r="O288" i="5" s="1"/>
  <c r="O289" i="5" a="1"/>
  <c r="O289" i="5" s="1"/>
  <c r="O290" i="5" a="1"/>
  <c r="O290" i="5" s="1"/>
  <c r="O291" i="5" a="1"/>
  <c r="O291" i="5" s="1"/>
  <c r="O292" i="5" a="1"/>
  <c r="O292" i="5" s="1"/>
  <c r="O293" i="5" a="1"/>
  <c r="O293" i="5" s="1"/>
  <c r="O295" i="5" a="1"/>
  <c r="O295" i="5" s="1"/>
  <c r="O296" i="5" a="1"/>
  <c r="O296" i="5" s="1"/>
  <c r="O297" i="5" a="1"/>
  <c r="O297" i="5" s="1"/>
  <c r="O298" i="5" a="1"/>
  <c r="O298" i="5" s="1"/>
  <c r="O299" i="5" a="1"/>
  <c r="O299" i="5" s="1"/>
  <c r="O300" i="5" a="1"/>
  <c r="O300" i="5" s="1"/>
  <c r="O301" i="5" a="1"/>
  <c r="O301" i="5" s="1"/>
  <c r="O302" i="5" a="1"/>
  <c r="O302" i="5" s="1"/>
  <c r="O303" i="5" a="1"/>
  <c r="O303" i="5" s="1"/>
  <c r="O304" i="5" a="1"/>
  <c r="O304" i="5" s="1"/>
  <c r="O305" i="5" a="1"/>
  <c r="O305" i="5" s="1"/>
  <c r="O306" i="5" a="1"/>
  <c r="O306" i="5" s="1"/>
  <c r="O307" i="5" a="1"/>
  <c r="O307" i="5" s="1"/>
  <c r="O308" i="5" a="1"/>
  <c r="O308" i="5" s="1"/>
  <c r="O309" i="5" a="1"/>
  <c r="O309" i="5" s="1"/>
  <c r="O310" i="5" a="1"/>
  <c r="O310" i="5" s="1"/>
  <c r="O311" i="5" a="1"/>
  <c r="O311" i="5" s="1"/>
  <c r="O312" i="5" a="1"/>
  <c r="O312" i="5" s="1"/>
  <c r="O313" i="5" a="1"/>
  <c r="O313" i="5" s="1"/>
  <c r="O314" i="5" a="1"/>
  <c r="O314" i="5" s="1"/>
  <c r="O315" i="5" a="1"/>
  <c r="O315" i="5" s="1"/>
  <c r="O316" i="5" a="1"/>
  <c r="O316" i="5" s="1"/>
  <c r="O317" i="5" a="1"/>
  <c r="O317" i="5" s="1"/>
  <c r="O318" i="5" a="1"/>
  <c r="O318" i="5" s="1"/>
  <c r="O319" i="5" a="1"/>
  <c r="O319" i="5" s="1"/>
  <c r="O320" i="5" a="1"/>
  <c r="O320" i="5" s="1"/>
  <c r="O321" i="5" a="1"/>
  <c r="O321" i="5" s="1"/>
  <c r="O322" i="5" a="1"/>
  <c r="O322" i="5" s="1"/>
  <c r="O323" i="5" a="1"/>
  <c r="O323" i="5" s="1"/>
  <c r="O324" i="5" a="1"/>
  <c r="O324" i="5" s="1"/>
  <c r="O325" i="5" a="1"/>
  <c r="O325" i="5" s="1"/>
  <c r="O326" i="5" a="1"/>
  <c r="O326" i="5" s="1"/>
  <c r="O327" i="5" a="1"/>
  <c r="O327" i="5" s="1"/>
  <c r="O328" i="5" a="1"/>
  <c r="O328" i="5" s="1"/>
  <c r="O329" i="5" a="1"/>
  <c r="O329" i="5" s="1"/>
  <c r="O330" i="5" a="1"/>
  <c r="O330" i="5" s="1"/>
  <c r="O331" i="5" a="1"/>
  <c r="O331" i="5" s="1"/>
  <c r="O332" i="5" a="1"/>
  <c r="O332" i="5" s="1"/>
  <c r="O333" i="5" a="1"/>
  <c r="O333" i="5" s="1"/>
  <c r="O334" i="5" a="1"/>
  <c r="O334" i="5" s="1"/>
  <c r="O335" i="5" a="1"/>
  <c r="O335" i="5" s="1"/>
  <c r="O336" i="5" a="1"/>
  <c r="O336" i="5" s="1"/>
  <c r="O337" i="5" a="1"/>
  <c r="O337" i="5" s="1"/>
  <c r="O338" i="5" a="1"/>
  <c r="O338" i="5" s="1"/>
  <c r="O339" i="5" a="1"/>
  <c r="O339" i="5" s="1"/>
  <c r="O340" i="5" a="1"/>
  <c r="O340" i="5" s="1"/>
  <c r="O341" i="5" a="1"/>
  <c r="O341" i="5" s="1"/>
  <c r="O342" i="5" a="1"/>
  <c r="O342" i="5" s="1"/>
  <c r="O343" i="5" a="1"/>
  <c r="O343" i="5" s="1"/>
  <c r="O344" i="5" a="1"/>
  <c r="O344" i="5" s="1"/>
  <c r="O345" i="5" a="1"/>
  <c r="O345" i="5" s="1"/>
  <c r="O346" i="5" a="1"/>
  <c r="O346" i="5" s="1"/>
  <c r="O347" i="5" a="1"/>
  <c r="O347" i="5" s="1"/>
  <c r="O348" i="5" a="1"/>
  <c r="O348" i="5" s="1"/>
  <c r="O349" i="5" a="1"/>
  <c r="O349" i="5" s="1"/>
  <c r="O350" i="5" a="1"/>
  <c r="O350" i="5" s="1"/>
  <c r="O351" i="5" a="1"/>
  <c r="O351" i="5" s="1"/>
  <c r="O352" i="5" a="1"/>
  <c r="O352" i="5" s="1"/>
  <c r="O353" i="5" a="1"/>
  <c r="O353" i="5" s="1"/>
  <c r="O354" i="5" a="1"/>
  <c r="O354" i="5" s="1"/>
  <c r="O355" i="5" a="1"/>
  <c r="O355" i="5" s="1"/>
  <c r="O356" i="5" a="1"/>
  <c r="O356" i="5" s="1"/>
  <c r="O357" i="5" a="1"/>
  <c r="O357" i="5" s="1"/>
  <c r="O358" i="5" a="1"/>
  <c r="O358" i="5" s="1"/>
  <c r="O359" i="5" a="1"/>
  <c r="O359" i="5" s="1"/>
  <c r="O360" i="5" a="1"/>
  <c r="O360" i="5" s="1"/>
  <c r="O361" i="5" a="1"/>
  <c r="O361" i="5" s="1"/>
  <c r="O362" i="5" a="1"/>
  <c r="O362" i="5" s="1"/>
  <c r="O363" i="5" a="1"/>
  <c r="O363" i="5" s="1"/>
  <c r="O364" i="5" a="1"/>
  <c r="O364" i="5" s="1"/>
  <c r="O365" i="5" a="1"/>
  <c r="O365" i="5" s="1"/>
  <c r="O366" i="5" a="1"/>
  <c r="O366" i="5" s="1"/>
  <c r="O367" i="5" a="1"/>
  <c r="O367" i="5" s="1"/>
  <c r="O368" i="5" a="1"/>
  <c r="O368" i="5" s="1"/>
  <c r="O369" i="5" a="1"/>
  <c r="O369" i="5" s="1"/>
  <c r="O370" i="5" a="1"/>
  <c r="O370" i="5" s="1"/>
  <c r="O371" i="5" a="1"/>
  <c r="O371" i="5" s="1"/>
  <c r="O372" i="5" a="1"/>
  <c r="O372" i="5" s="1"/>
  <c r="O373" i="5" a="1"/>
  <c r="O373" i="5" s="1"/>
  <c r="O374" i="5" a="1"/>
  <c r="O374" i="5" s="1"/>
  <c r="O375" i="5" a="1"/>
  <c r="O375" i="5" s="1"/>
  <c r="O376" i="5" a="1"/>
  <c r="O376" i="5" s="1"/>
  <c r="O377" i="5" a="1"/>
  <c r="O377" i="5" s="1"/>
  <c r="O378" i="5" a="1"/>
  <c r="O378" i="5" s="1"/>
  <c r="O379" i="5" a="1"/>
  <c r="O379" i="5" s="1"/>
  <c r="O380" i="5" a="1"/>
  <c r="O380" i="5" s="1"/>
  <c r="O381" i="5" a="1"/>
  <c r="O381" i="5" s="1"/>
  <c r="O382" i="5" a="1"/>
  <c r="O382" i="5" s="1"/>
  <c r="O383" i="5" a="1"/>
  <c r="O383" i="5" s="1"/>
  <c r="O384" i="5" a="1"/>
  <c r="O384" i="5" s="1"/>
  <c r="O385" i="5" a="1"/>
  <c r="O385" i="5" s="1"/>
  <c r="O386" i="5" a="1"/>
  <c r="O386" i="5" s="1"/>
  <c r="O387" i="5" a="1"/>
  <c r="O387" i="5" s="1"/>
  <c r="O388" i="5" a="1"/>
  <c r="O388" i="5" s="1"/>
  <c r="O389" i="5" a="1"/>
  <c r="O389" i="5" s="1"/>
  <c r="O390" i="5" a="1"/>
  <c r="O390" i="5" s="1"/>
  <c r="O391" i="5" a="1"/>
  <c r="O391" i="5" s="1"/>
  <c r="O392" i="5" a="1"/>
  <c r="O392" i="5" s="1"/>
  <c r="O393" i="5" a="1"/>
  <c r="O393" i="5" s="1"/>
  <c r="O394" i="5" a="1"/>
  <c r="O394" i="5" s="1"/>
  <c r="O395" i="5" a="1"/>
  <c r="O395" i="5" s="1"/>
  <c r="O396" i="5" a="1"/>
  <c r="O396" i="5" s="1"/>
  <c r="O397" i="5" a="1"/>
  <c r="O397" i="5" s="1"/>
  <c r="O398" i="5" a="1"/>
  <c r="O398" i="5" s="1"/>
  <c r="O399" i="5" a="1"/>
  <c r="O399" i="5" s="1"/>
  <c r="O400" i="5" a="1"/>
  <c r="O400" i="5" s="1"/>
  <c r="O401" i="5" a="1"/>
  <c r="O401" i="5" s="1"/>
  <c r="O402" i="5" a="1"/>
  <c r="O402" i="5" s="1"/>
  <c r="O403" i="5" a="1"/>
  <c r="O403" i="5" s="1"/>
  <c r="O404" i="5" a="1"/>
  <c r="O404" i="5" s="1"/>
  <c r="O405" i="5" a="1"/>
  <c r="O405" i="5" s="1"/>
  <c r="O406" i="5" a="1"/>
  <c r="O406" i="5" s="1"/>
  <c r="O407" i="5" a="1"/>
  <c r="O407" i="5" s="1"/>
  <c r="O408" i="5" a="1"/>
  <c r="O408" i="5" s="1"/>
  <c r="O409" i="5" a="1"/>
  <c r="O409" i="5" s="1"/>
  <c r="O410" i="5" a="1"/>
  <c r="O410" i="5" s="1"/>
  <c r="O411" i="5" a="1"/>
  <c r="O411" i="5" s="1"/>
  <c r="O412" i="5" a="1"/>
  <c r="O412" i="5" s="1"/>
  <c r="O413" i="5" a="1"/>
  <c r="O413" i="5" s="1"/>
  <c r="O414" i="5" a="1"/>
  <c r="O414" i="5" s="1"/>
  <c r="O415" i="5" a="1"/>
  <c r="O415" i="5" s="1"/>
  <c r="O416" i="5" a="1"/>
  <c r="O416" i="5" s="1"/>
  <c r="O417" i="5" a="1"/>
  <c r="O417" i="5" s="1"/>
  <c r="O418" i="5" a="1"/>
  <c r="O418" i="5" s="1"/>
  <c r="O419" i="5" a="1"/>
  <c r="O419" i="5" s="1"/>
  <c r="O420" i="5" a="1"/>
  <c r="O420" i="5" s="1"/>
  <c r="O421" i="5" a="1"/>
  <c r="O421" i="5" s="1"/>
  <c r="O422" i="5" a="1"/>
  <c r="O422" i="5" s="1"/>
  <c r="O423" i="5" a="1"/>
  <c r="O423" i="5" s="1"/>
  <c r="O424" i="5" a="1"/>
  <c r="O424" i="5" s="1"/>
  <c r="O425" i="5" a="1"/>
  <c r="O425" i="5" s="1"/>
  <c r="O426" i="5" a="1"/>
  <c r="O426" i="5" s="1"/>
  <c r="O427" i="5" a="1"/>
  <c r="O427" i="5" s="1"/>
  <c r="O428" i="5" a="1"/>
  <c r="O428" i="5" s="1"/>
  <c r="O429" i="5" a="1"/>
  <c r="O429" i="5" s="1"/>
  <c r="O430" i="5" a="1"/>
  <c r="O430" i="5" s="1"/>
  <c r="O431" i="5" a="1"/>
  <c r="O431" i="5" s="1"/>
  <c r="O432" i="5" a="1"/>
  <c r="O432" i="5" s="1"/>
  <c r="O433" i="5" a="1"/>
  <c r="O433" i="5" s="1"/>
  <c r="O434" i="5" a="1"/>
  <c r="O434" i="5" s="1"/>
  <c r="O435" i="5" a="1"/>
  <c r="O435" i="5" s="1"/>
  <c r="O436" i="5" a="1"/>
  <c r="O436" i="5" s="1"/>
  <c r="O437" i="5" a="1"/>
  <c r="O437" i="5" s="1"/>
  <c r="O438" i="5" a="1"/>
  <c r="O438" i="5" s="1"/>
  <c r="O439" i="5" a="1"/>
  <c r="O439" i="5" s="1"/>
  <c r="O440" i="5" a="1"/>
  <c r="O440" i="5" s="1"/>
  <c r="O441" i="5" a="1"/>
  <c r="O441" i="5" s="1"/>
  <c r="O442" i="5" a="1"/>
  <c r="O442" i="5" s="1"/>
  <c r="O443" i="5" a="1"/>
  <c r="O443" i="5" s="1"/>
  <c r="O444" i="5" a="1"/>
  <c r="O444" i="5" s="1"/>
  <c r="O445" i="5" a="1"/>
  <c r="O445" i="5" s="1"/>
  <c r="O446" i="5" a="1"/>
  <c r="O446" i="5" s="1"/>
  <c r="O447" i="5" a="1"/>
  <c r="O447" i="5" s="1"/>
  <c r="O448" i="5" a="1"/>
  <c r="O448" i="5" s="1"/>
  <c r="O449" i="5" a="1"/>
  <c r="O449" i="5" s="1"/>
  <c r="O450" i="5" a="1"/>
  <c r="O450" i="5" s="1"/>
  <c r="O451" i="5" a="1"/>
  <c r="O451" i="5" s="1"/>
  <c r="O452" i="5" a="1"/>
  <c r="O452" i="5" s="1"/>
  <c r="O453" i="5" a="1"/>
  <c r="O453" i="5" s="1"/>
  <c r="O454" i="5" a="1"/>
  <c r="O454" i="5" s="1"/>
  <c r="O455" i="5" a="1"/>
  <c r="O455" i="5" s="1"/>
  <c r="O456" i="5" a="1"/>
  <c r="O456" i="5" s="1"/>
  <c r="O457" i="5" a="1"/>
  <c r="O457" i="5" s="1"/>
  <c r="O458" i="5" a="1"/>
  <c r="O458" i="5" s="1"/>
  <c r="O459" i="5" a="1"/>
  <c r="O459" i="5" s="1"/>
  <c r="O460" i="5" a="1"/>
  <c r="O460" i="5" s="1"/>
  <c r="O461" i="5" a="1"/>
  <c r="O461" i="5" s="1"/>
  <c r="O462" i="5" a="1"/>
  <c r="O462" i="5" s="1"/>
  <c r="O463" i="5" a="1"/>
  <c r="O463" i="5" s="1"/>
  <c r="O464" i="5" a="1"/>
  <c r="O464" i="5" s="1"/>
  <c r="O465" i="5" a="1"/>
  <c r="O465" i="5" s="1"/>
  <c r="O466" i="5" a="1"/>
  <c r="O466" i="5" s="1"/>
  <c r="O467" i="5" a="1"/>
  <c r="O467" i="5" s="1"/>
  <c r="O468" i="5" a="1"/>
  <c r="O468" i="5" s="1"/>
  <c r="O469" i="5" a="1"/>
  <c r="O469" i="5" s="1"/>
  <c r="O470" i="5" a="1"/>
  <c r="O470" i="5" s="1"/>
  <c r="O471" i="5" a="1"/>
  <c r="O471" i="5" s="1"/>
  <c r="O472" i="5" a="1"/>
  <c r="O472" i="5" s="1"/>
  <c r="O473" i="5" a="1"/>
  <c r="O473" i="5" s="1"/>
  <c r="O474" i="5" a="1"/>
  <c r="O474" i="5" s="1"/>
  <c r="O475" i="5" a="1"/>
  <c r="O475" i="5" s="1"/>
  <c r="O476" i="5" a="1"/>
  <c r="O476" i="5" s="1"/>
  <c r="O477" i="5" a="1"/>
  <c r="O477" i="5" s="1"/>
  <c r="O478" i="5" a="1"/>
  <c r="O478" i="5" s="1"/>
  <c r="O479" i="5" a="1"/>
  <c r="O479" i="5" s="1"/>
  <c r="O480" i="5" a="1"/>
  <c r="O480" i="5" s="1"/>
  <c r="O481" i="5" a="1"/>
  <c r="O481" i="5" s="1"/>
  <c r="O482" i="5" a="1"/>
  <c r="O482" i="5" s="1"/>
  <c r="O483" i="5" a="1"/>
  <c r="O483" i="5" s="1"/>
  <c r="O484" i="5" a="1"/>
  <c r="O484" i="5" s="1"/>
  <c r="O485" i="5" a="1"/>
  <c r="O485" i="5" s="1"/>
  <c r="O486" i="5" a="1"/>
  <c r="O486" i="5" s="1"/>
  <c r="O487" i="5" a="1"/>
  <c r="O487" i="5" s="1"/>
  <c r="O488" i="5" a="1"/>
  <c r="O488" i="5" s="1"/>
  <c r="O489" i="5" a="1"/>
  <c r="O489" i="5" s="1"/>
  <c r="O490" i="5" a="1"/>
  <c r="O490" i="5" s="1"/>
  <c r="O491" i="5" a="1"/>
  <c r="O491" i="5" s="1"/>
  <c r="O492" i="5" a="1"/>
  <c r="O492" i="5" s="1"/>
  <c r="O493" i="5" a="1"/>
  <c r="O493" i="5" s="1"/>
  <c r="O494" i="5" a="1"/>
  <c r="O494" i="5" s="1"/>
  <c r="O495" i="5" a="1"/>
  <c r="O495" i="5" s="1"/>
  <c r="O496" i="5" a="1"/>
  <c r="O496" i="5" s="1"/>
  <c r="O497" i="5" a="1"/>
  <c r="O497" i="5" s="1"/>
  <c r="O498" i="5" a="1"/>
  <c r="O498" i="5" s="1"/>
  <c r="O499" i="5" a="1"/>
  <c r="O499" i="5" s="1"/>
  <c r="O500" i="5" a="1"/>
  <c r="O500" i="5" s="1"/>
  <c r="O501" i="5" a="1"/>
  <c r="O501" i="5" s="1"/>
  <c r="O502" i="5" a="1"/>
  <c r="O502" i="5" s="1"/>
  <c r="O503" i="5" a="1"/>
  <c r="O503" i="5" s="1"/>
  <c r="O504" i="5" a="1"/>
  <c r="O504" i="5" s="1"/>
  <c r="O505" i="5" a="1"/>
  <c r="O505" i="5" s="1"/>
  <c r="O506" i="5" a="1"/>
  <c r="O506" i="5" s="1"/>
  <c r="O507" i="5" a="1"/>
  <c r="O507" i="5" s="1"/>
  <c r="O508" i="5" a="1"/>
  <c r="O508" i="5" s="1"/>
  <c r="O509" i="5" a="1"/>
  <c r="O509" i="5" s="1"/>
  <c r="O510" i="5" a="1"/>
  <c r="O510" i="5" s="1"/>
  <c r="O511" i="5" a="1"/>
  <c r="O511" i="5" s="1"/>
  <c r="O512" i="5" a="1"/>
  <c r="O512" i="5" s="1"/>
  <c r="O513" i="5" a="1"/>
  <c r="O513" i="5" s="1"/>
  <c r="O514" i="5" a="1"/>
  <c r="O514" i="5" s="1"/>
  <c r="O515" i="5" a="1"/>
  <c r="O515" i="5"/>
  <c r="O516" i="5" a="1"/>
  <c r="O516" i="5" s="1"/>
  <c r="O517" i="5" a="1"/>
  <c r="O517" i="5" s="1"/>
  <c r="O518" i="5" a="1"/>
  <c r="O518" i="5" s="1"/>
  <c r="O519" i="5" a="1"/>
  <c r="O519" i="5" s="1"/>
  <c r="O520" i="5" a="1"/>
  <c r="O520" i="5" s="1"/>
  <c r="O521" i="5" a="1"/>
  <c r="O521" i="5" s="1"/>
  <c r="O522" i="5" a="1"/>
  <c r="O522" i="5" s="1"/>
  <c r="O523" i="5" a="1"/>
  <c r="O523" i="5" s="1"/>
  <c r="O524" i="5" a="1"/>
  <c r="O524" i="5" s="1"/>
  <c r="O525" i="5" a="1"/>
  <c r="O525" i="5" s="1"/>
  <c r="O526" i="5" a="1"/>
  <c r="O526" i="5" s="1"/>
  <c r="O527" i="5" a="1"/>
  <c r="O527" i="5" s="1"/>
  <c r="O528" i="5" a="1"/>
  <c r="O528" i="5" s="1"/>
  <c r="O529" i="5" a="1"/>
  <c r="O529" i="5" s="1"/>
  <c r="O530" i="5" a="1"/>
  <c r="O530" i="5" s="1"/>
  <c r="O531" i="5" a="1"/>
  <c r="O531" i="5" s="1"/>
  <c r="O532" i="5" a="1"/>
  <c r="O532" i="5" s="1"/>
  <c r="O533" i="5" a="1"/>
  <c r="O533" i="5" s="1"/>
  <c r="O534" i="5" a="1"/>
  <c r="O534" i="5" s="1"/>
  <c r="O535" i="5" a="1"/>
  <c r="O535" i="5" s="1"/>
  <c r="O536" i="5" a="1"/>
  <c r="O536" i="5" s="1"/>
  <c r="O537" i="5" a="1"/>
  <c r="O537" i="5" s="1"/>
  <c r="O538" i="5" a="1"/>
  <c r="O538" i="5" s="1"/>
  <c r="O539" i="5" a="1"/>
  <c r="O539" i="5" s="1"/>
  <c r="O540" i="5" a="1"/>
  <c r="O540" i="5" s="1"/>
  <c r="O541" i="5" a="1"/>
  <c r="O541" i="5" s="1"/>
  <c r="O542" i="5" a="1"/>
  <c r="O542" i="5" s="1"/>
  <c r="O543" i="5" a="1"/>
  <c r="O543" i="5" s="1"/>
  <c r="O544" i="5" a="1"/>
  <c r="O544" i="5" s="1"/>
  <c r="O545" i="5" a="1"/>
  <c r="O545" i="5" s="1"/>
  <c r="O546" i="5" a="1"/>
  <c r="O546" i="5" s="1"/>
  <c r="O547" i="5" a="1"/>
  <c r="O547" i="5" s="1"/>
  <c r="O548" i="5" a="1"/>
  <c r="O548" i="5" s="1"/>
  <c r="O549" i="5" a="1"/>
  <c r="O549" i="5" s="1"/>
  <c r="O550" i="5" a="1"/>
  <c r="O550" i="5" s="1"/>
  <c r="O551" i="5" a="1"/>
  <c r="O551" i="5" s="1"/>
  <c r="O552" i="5" a="1"/>
  <c r="O552" i="5" s="1"/>
  <c r="O553" i="5" a="1"/>
  <c r="O553" i="5" s="1"/>
  <c r="O554" i="5" a="1"/>
  <c r="O554" i="5" s="1"/>
  <c r="O555" i="5" a="1"/>
  <c r="O555" i="5" s="1"/>
  <c r="O556" i="5" a="1"/>
  <c r="O556" i="5" s="1"/>
  <c r="O557" i="5" a="1"/>
  <c r="O557" i="5" s="1"/>
  <c r="O558" i="5" a="1"/>
  <c r="O558" i="5" s="1"/>
  <c r="O559" i="5" a="1"/>
  <c r="O559" i="5" s="1"/>
  <c r="O560" i="5" a="1"/>
  <c r="O560" i="5" s="1"/>
  <c r="O561" i="5" a="1"/>
  <c r="O561" i="5" s="1"/>
  <c r="O562" i="5" a="1"/>
  <c r="O562" i="5" s="1"/>
  <c r="O563" i="5" a="1"/>
  <c r="O563" i="5" s="1"/>
  <c r="O564" i="5" a="1"/>
  <c r="O564" i="5" s="1"/>
  <c r="O565" i="5" a="1"/>
  <c r="O565" i="5" s="1"/>
  <c r="O566" i="5" a="1"/>
  <c r="O566" i="5" s="1"/>
  <c r="O567" i="5" a="1"/>
  <c r="O567" i="5" s="1"/>
  <c r="O568" i="5" a="1"/>
  <c r="O568" i="5" s="1"/>
  <c r="O569" i="5" a="1"/>
  <c r="O569" i="5" s="1"/>
  <c r="O570" i="5" a="1"/>
  <c r="O570" i="5" s="1"/>
  <c r="O571" i="5" a="1"/>
  <c r="O571" i="5" s="1"/>
  <c r="O572" i="5" a="1"/>
  <c r="O572" i="5" s="1"/>
  <c r="O573" i="5" a="1"/>
  <c r="O573" i="5" s="1"/>
  <c r="O574" i="5" a="1"/>
  <c r="O574" i="5" s="1"/>
  <c r="O575" i="5" a="1"/>
  <c r="O575" i="5" s="1"/>
  <c r="O576" i="5" a="1"/>
  <c r="O576" i="5"/>
  <c r="O577" i="5" a="1"/>
  <c r="O577" i="5" s="1"/>
  <c r="O578" i="5" a="1"/>
  <c r="O578" i="5" s="1"/>
  <c r="O579" i="5" a="1"/>
  <c r="O579" i="5" s="1"/>
  <c r="O580" i="5" a="1"/>
  <c r="O580" i="5" s="1"/>
  <c r="O581" i="5" a="1"/>
  <c r="O581" i="5" s="1"/>
  <c r="O582" i="5" a="1"/>
  <c r="O582" i="5" s="1"/>
  <c r="O583" i="5" a="1"/>
  <c r="O583" i="5" s="1"/>
  <c r="O584" i="5" a="1"/>
  <c r="O584" i="5" s="1"/>
  <c r="O585" i="5" a="1"/>
  <c r="O585" i="5" s="1"/>
  <c r="O586" i="5" a="1"/>
  <c r="O586" i="5" s="1"/>
  <c r="O587" i="5" a="1"/>
  <c r="O587" i="5" s="1"/>
  <c r="O588" i="5" a="1"/>
  <c r="O588" i="5" s="1"/>
  <c r="O589" i="5" a="1"/>
  <c r="O589" i="5" s="1"/>
  <c r="O590" i="5" a="1"/>
  <c r="O590" i="5" s="1"/>
  <c r="O591" i="5" a="1"/>
  <c r="O591" i="5" s="1"/>
  <c r="O592" i="5" a="1"/>
  <c r="O592" i="5" s="1"/>
  <c r="O593" i="5" a="1"/>
  <c r="O593" i="5" s="1"/>
  <c r="O594" i="5" a="1"/>
  <c r="O594" i="5" s="1"/>
  <c r="O595" i="5" a="1"/>
  <c r="O595" i="5" s="1"/>
  <c r="O596" i="5" a="1"/>
  <c r="O596" i="5" s="1"/>
  <c r="O597" i="5" a="1"/>
  <c r="O597" i="5" s="1"/>
  <c r="O598" i="5" a="1"/>
  <c r="O598" i="5" s="1"/>
  <c r="O599" i="5" a="1"/>
  <c r="O599" i="5" s="1"/>
  <c r="O600" i="5" a="1"/>
  <c r="O600" i="5" s="1"/>
  <c r="O601" i="5" a="1"/>
  <c r="O601" i="5" s="1"/>
  <c r="O602" i="5" a="1"/>
  <c r="O602" i="5" s="1"/>
  <c r="O603" i="5" a="1"/>
  <c r="O603" i="5" s="1"/>
  <c r="O604" i="5" a="1"/>
  <c r="O604" i="5" s="1"/>
  <c r="O605" i="5" a="1"/>
  <c r="O605" i="5" s="1"/>
  <c r="O606" i="5" a="1"/>
  <c r="O606" i="5" s="1"/>
  <c r="O607" i="5" a="1"/>
  <c r="O607" i="5" s="1"/>
  <c r="O608" i="5" a="1"/>
  <c r="O608" i="5" s="1"/>
  <c r="O609" i="5" a="1"/>
  <c r="O609" i="5" s="1"/>
  <c r="O610" i="5" a="1"/>
  <c r="O610" i="5" s="1"/>
  <c r="O611" i="5" a="1"/>
  <c r="O611" i="5" s="1"/>
  <c r="O612" i="5" a="1"/>
  <c r="O612" i="5" s="1"/>
  <c r="O613" i="5" a="1"/>
  <c r="O613" i="5" s="1"/>
  <c r="O614" i="5" a="1"/>
  <c r="O614" i="5" s="1"/>
  <c r="O615" i="5" a="1"/>
  <c r="O615" i="5" s="1"/>
  <c r="O616" i="5" a="1"/>
  <c r="O616" i="5" s="1"/>
  <c r="O617" i="5" a="1"/>
  <c r="O617" i="5" s="1"/>
  <c r="O618" i="5" a="1"/>
  <c r="O618" i="5" s="1"/>
  <c r="O619" i="5" a="1"/>
  <c r="O619" i="5" s="1"/>
  <c r="O620" i="5" a="1"/>
  <c r="O620" i="5" s="1"/>
  <c r="O621" i="5" a="1"/>
  <c r="O621" i="5" s="1"/>
  <c r="O622" i="5" a="1"/>
  <c r="O622" i="5" s="1"/>
  <c r="O623" i="5" a="1"/>
  <c r="O623" i="5" s="1"/>
  <c r="O624" i="5" a="1"/>
  <c r="O624" i="5" s="1"/>
  <c r="O625" i="5" a="1"/>
  <c r="O625" i="5" s="1"/>
  <c r="O626" i="5" a="1"/>
  <c r="O626" i="5" s="1"/>
  <c r="O627" i="5" a="1"/>
  <c r="O627" i="5" s="1"/>
  <c r="O628" i="5" a="1"/>
  <c r="O628" i="5" s="1"/>
  <c r="O629" i="5" a="1"/>
  <c r="O629" i="5" s="1"/>
  <c r="O630" i="5" a="1"/>
  <c r="O630" i="5" s="1"/>
  <c r="O631" i="5" a="1"/>
  <c r="O631" i="5" s="1"/>
  <c r="O632" i="5" a="1"/>
  <c r="O632" i="5" s="1"/>
  <c r="O633" i="5" a="1"/>
  <c r="O633" i="5" s="1"/>
  <c r="O634" i="5" a="1"/>
  <c r="O634" i="5" s="1"/>
  <c r="O635" i="5" a="1"/>
  <c r="O635" i="5" s="1"/>
  <c r="O636" i="5" a="1"/>
  <c r="O636" i="5" s="1"/>
  <c r="O637" i="5" a="1"/>
  <c r="O637" i="5" s="1"/>
  <c r="O638" i="5" a="1"/>
  <c r="O638" i="5" s="1"/>
  <c r="O639" i="5" a="1"/>
  <c r="O639" i="5" s="1"/>
  <c r="O640" i="5" a="1"/>
  <c r="O640" i="5" s="1"/>
  <c r="O641" i="5" a="1"/>
  <c r="O641" i="5" s="1"/>
  <c r="O642" i="5" a="1"/>
  <c r="O642" i="5" s="1"/>
  <c r="O643" i="5" a="1"/>
  <c r="O643" i="5" s="1"/>
  <c r="O644" i="5" a="1"/>
  <c r="O644" i="5" s="1"/>
  <c r="O645" i="5" a="1"/>
  <c r="O645" i="5" s="1"/>
  <c r="O646" i="5" a="1"/>
  <c r="O646" i="5" s="1"/>
  <c r="O647" i="5" a="1"/>
  <c r="O647" i="5" s="1"/>
  <c r="O648" i="5" a="1"/>
  <c r="O648" i="5" s="1"/>
  <c r="O649" i="5" a="1"/>
  <c r="O649" i="5" s="1"/>
  <c r="O650" i="5" a="1"/>
  <c r="O650" i="5" s="1"/>
  <c r="O651" i="5" a="1"/>
  <c r="O651" i="5" s="1"/>
  <c r="O652" i="5" a="1"/>
  <c r="O652" i="5" s="1"/>
  <c r="O653" i="5" a="1"/>
  <c r="O653" i="5" s="1"/>
  <c r="O654" i="5" a="1"/>
  <c r="O654" i="5" s="1"/>
  <c r="O655" i="5" a="1"/>
  <c r="O655" i="5" s="1"/>
  <c r="O656" i="5" a="1"/>
  <c r="O656" i="5" s="1"/>
  <c r="O657" i="5" a="1"/>
  <c r="O657" i="5" s="1"/>
  <c r="O658" i="5" a="1"/>
  <c r="O658" i="5" s="1"/>
  <c r="O659" i="5" a="1"/>
  <c r="O659" i="5" s="1"/>
  <c r="O660" i="5" a="1"/>
  <c r="O660" i="5" s="1"/>
  <c r="O661" i="5" a="1"/>
  <c r="O661" i="5" s="1"/>
  <c r="O662" i="5" a="1"/>
  <c r="O662" i="5" s="1"/>
  <c r="O663" i="5" a="1"/>
  <c r="O663" i="5" s="1"/>
  <c r="O664" i="5" a="1"/>
  <c r="O664" i="5" s="1"/>
  <c r="O665" i="5" a="1"/>
  <c r="O665" i="5" s="1"/>
  <c r="O666" i="5" a="1"/>
  <c r="O666" i="5" s="1"/>
  <c r="O667" i="5" a="1"/>
  <c r="O667" i="5" s="1"/>
  <c r="O668" i="5" a="1"/>
  <c r="O668" i="5" s="1"/>
  <c r="O669" i="5" a="1"/>
  <c r="O669" i="5" s="1"/>
  <c r="O670" i="5" a="1"/>
  <c r="O670" i="5" s="1"/>
  <c r="O671" i="5" a="1"/>
  <c r="O671" i="5" s="1"/>
  <c r="O672" i="5" a="1"/>
  <c r="O672" i="5" s="1"/>
  <c r="O673" i="5" a="1"/>
  <c r="O673" i="5" s="1"/>
  <c r="O674" i="5" a="1"/>
  <c r="O674" i="5" s="1"/>
  <c r="O675" i="5" a="1"/>
  <c r="O675" i="5" s="1"/>
  <c r="O676" i="5" a="1"/>
  <c r="O676" i="5" s="1"/>
  <c r="O677" i="5" a="1"/>
  <c r="O677" i="5" s="1"/>
  <c r="O678" i="5" a="1"/>
  <c r="O678" i="5" s="1"/>
  <c r="O679" i="5" a="1"/>
  <c r="O679" i="5" s="1"/>
  <c r="O680" i="5" a="1"/>
  <c r="O680" i="5" s="1"/>
  <c r="O681" i="5" a="1"/>
  <c r="O681" i="5" s="1"/>
  <c r="O682" i="5" a="1"/>
  <c r="O682" i="5" s="1"/>
  <c r="O683" i="5" a="1"/>
  <c r="O683" i="5" s="1"/>
  <c r="O684" i="5" a="1"/>
  <c r="O684" i="5" s="1"/>
  <c r="O685" i="5" a="1"/>
  <c r="O685" i="5" s="1"/>
  <c r="O686" i="5" a="1"/>
  <c r="O686" i="5" s="1"/>
  <c r="O687" i="5" a="1"/>
  <c r="O687" i="5" s="1"/>
  <c r="O688" i="5" a="1"/>
  <c r="O688" i="5" s="1"/>
  <c r="O689" i="5" a="1"/>
  <c r="O689" i="5" s="1"/>
  <c r="O690" i="5" a="1"/>
  <c r="O690" i="5" s="1"/>
  <c r="O691" i="5" a="1"/>
  <c r="O691" i="5" s="1"/>
  <c r="O692" i="5" a="1"/>
  <c r="O692" i="5" s="1"/>
  <c r="O693" i="5" a="1"/>
  <c r="O693" i="5" s="1"/>
  <c r="O694" i="5" a="1"/>
  <c r="O694" i="5" s="1"/>
  <c r="O695" i="5" a="1"/>
  <c r="O695" i="5" s="1"/>
  <c r="O696" i="5" a="1"/>
  <c r="O696" i="5" s="1"/>
  <c r="O697" i="5" a="1"/>
  <c r="O697" i="5" s="1"/>
  <c r="O698" i="5" a="1"/>
  <c r="O698" i="5" s="1"/>
  <c r="O699" i="5" a="1"/>
  <c r="O699" i="5" s="1"/>
  <c r="O700" i="5" a="1"/>
  <c r="O700" i="5" s="1"/>
  <c r="O701" i="5" a="1"/>
  <c r="O701" i="5" s="1"/>
  <c r="O702" i="5" a="1"/>
  <c r="O702" i="5" s="1"/>
  <c r="O703" i="5" a="1"/>
  <c r="O703" i="5" s="1"/>
  <c r="O704" i="5" a="1"/>
  <c r="O704" i="5" s="1"/>
  <c r="O705" i="5" a="1"/>
  <c r="O705" i="5" s="1"/>
  <c r="O706" i="5" a="1"/>
  <c r="O706" i="5" s="1"/>
  <c r="O707" i="5" a="1"/>
  <c r="O707" i="5" s="1"/>
  <c r="O708" i="5" a="1"/>
  <c r="O708" i="5" s="1"/>
  <c r="O709" i="5" a="1"/>
  <c r="O709" i="5" s="1"/>
  <c r="O710" i="5" a="1"/>
  <c r="O710" i="5" s="1"/>
  <c r="O711" i="5" a="1"/>
  <c r="O711" i="5" s="1"/>
  <c r="O712" i="5" a="1"/>
  <c r="O712" i="5" s="1"/>
  <c r="O713" i="5" a="1"/>
  <c r="O713" i="5" s="1"/>
  <c r="O714" i="5" a="1"/>
  <c r="O714" i="5" s="1"/>
  <c r="O715" i="5" a="1"/>
  <c r="O715" i="5" s="1"/>
  <c r="O716" i="5" a="1"/>
  <c r="O716" i="5" s="1"/>
  <c r="O717" i="5" a="1"/>
  <c r="O717" i="5" s="1"/>
  <c r="O718" i="5" a="1"/>
  <c r="O718" i="5" s="1"/>
  <c r="O719" i="5" a="1"/>
  <c r="O719" i="5" s="1"/>
  <c r="O720" i="5" a="1"/>
  <c r="O720" i="5" s="1"/>
  <c r="O721" i="5" a="1"/>
  <c r="O721" i="5" s="1"/>
  <c r="O722" i="5" a="1"/>
  <c r="O722" i="5" s="1"/>
  <c r="O723" i="5" a="1"/>
  <c r="O723" i="5" s="1"/>
  <c r="O724" i="5" a="1"/>
  <c r="O724" i="5" s="1"/>
  <c r="O725" i="5" a="1"/>
  <c r="O725" i="5" s="1"/>
  <c r="O726" i="5" a="1"/>
  <c r="O726" i="5" s="1"/>
  <c r="O727" i="5" a="1"/>
  <c r="O727" i="5" s="1"/>
  <c r="O728" i="5" a="1"/>
  <c r="O728" i="5" s="1"/>
  <c r="O729" i="5" a="1"/>
  <c r="O729" i="5" s="1"/>
  <c r="O730" i="5" a="1"/>
  <c r="O730" i="5" s="1"/>
  <c r="O731" i="5" a="1"/>
  <c r="O731" i="5" s="1"/>
  <c r="O732" i="5" a="1"/>
  <c r="O732" i="5" s="1"/>
  <c r="O733" i="5" a="1"/>
  <c r="O733" i="5" s="1"/>
  <c r="O734" i="5" a="1"/>
  <c r="O734" i="5" s="1"/>
  <c r="O735" i="5" a="1"/>
  <c r="O735" i="5" s="1"/>
  <c r="O736" i="5" a="1"/>
  <c r="O736" i="5" s="1"/>
  <c r="O737" i="5" a="1"/>
  <c r="O737" i="5" s="1"/>
  <c r="O738" i="5" a="1"/>
  <c r="O738" i="5" s="1"/>
  <c r="O739" i="5" a="1"/>
  <c r="O739" i="5" s="1"/>
  <c r="O740" i="5" a="1"/>
  <c r="O740" i="5" s="1"/>
  <c r="O741" i="5" a="1"/>
  <c r="O741" i="5" s="1"/>
  <c r="O742" i="5" a="1"/>
  <c r="O742" i="5" s="1"/>
  <c r="O743" i="5" a="1"/>
  <c r="O743" i="5" s="1"/>
  <c r="O744" i="5" a="1"/>
  <c r="O744" i="5" s="1"/>
  <c r="O745" i="5" a="1"/>
  <c r="O745" i="5" s="1"/>
  <c r="O746" i="5" a="1"/>
  <c r="O746" i="5" s="1"/>
  <c r="O747" i="5" a="1"/>
  <c r="O747" i="5" s="1"/>
  <c r="O748" i="5" a="1"/>
  <c r="O748" i="5" s="1"/>
  <c r="O749" i="5" a="1"/>
  <c r="O749" i="5" s="1"/>
  <c r="O750" i="5" a="1"/>
  <c r="O750" i="5" s="1"/>
  <c r="O751" i="5" a="1"/>
  <c r="O751" i="5" s="1"/>
  <c r="O752" i="5" a="1"/>
  <c r="O752" i="5" s="1"/>
  <c r="O753" i="5" a="1"/>
  <c r="O753" i="5" s="1"/>
  <c r="O754" i="5" a="1"/>
  <c r="O754" i="5" s="1"/>
  <c r="O755" i="5" a="1"/>
  <c r="O755" i="5" s="1"/>
  <c r="O756" i="5" a="1"/>
  <c r="O756" i="5" s="1"/>
  <c r="O757" i="5" a="1"/>
  <c r="O757" i="5" s="1"/>
  <c r="O758" i="5" a="1"/>
  <c r="O758" i="5" s="1"/>
  <c r="O759" i="5" a="1"/>
  <c r="O759" i="5" s="1"/>
  <c r="O760" i="5" a="1"/>
  <c r="O760" i="5" s="1"/>
  <c r="O761" i="5" a="1"/>
  <c r="O761" i="5" s="1"/>
  <c r="O762" i="5" a="1"/>
  <c r="O762" i="5" s="1"/>
  <c r="O763" i="5" a="1"/>
  <c r="O763" i="5" s="1"/>
  <c r="O764" i="5" a="1"/>
  <c r="O764" i="5" s="1"/>
  <c r="O765" i="5" a="1"/>
  <c r="O765" i="5" s="1"/>
  <c r="O766" i="5" a="1"/>
  <c r="O766" i="5" s="1"/>
  <c r="O767" i="5" a="1"/>
  <c r="O767" i="5" s="1"/>
  <c r="O768" i="5" a="1"/>
  <c r="O768" i="5" s="1"/>
  <c r="O769" i="5" a="1"/>
  <c r="O769" i="5" s="1"/>
  <c r="O770" i="5" a="1"/>
  <c r="O770" i="5" s="1"/>
  <c r="O771" i="5" a="1"/>
  <c r="O771" i="5" s="1"/>
  <c r="O772" i="5" a="1"/>
  <c r="O772" i="5" s="1"/>
  <c r="O773" i="5" a="1"/>
  <c r="O773" i="5" s="1"/>
  <c r="O774" i="5" a="1"/>
  <c r="O774" i="5" s="1"/>
  <c r="O775" i="5" a="1"/>
  <c r="O775" i="5" s="1"/>
  <c r="O776" i="5" a="1"/>
  <c r="O776" i="5" s="1"/>
  <c r="O777" i="5" a="1"/>
  <c r="O777" i="5" s="1"/>
  <c r="O778" i="5" a="1"/>
  <c r="O778" i="5" s="1"/>
  <c r="O779" i="5" a="1"/>
  <c r="O779" i="5" s="1"/>
  <c r="O780" i="5" a="1"/>
  <c r="O780" i="5" s="1"/>
  <c r="O781" i="5" a="1"/>
  <c r="O781" i="5" s="1"/>
  <c r="O782" i="5" a="1"/>
  <c r="O782" i="5" s="1"/>
  <c r="O783" i="5" a="1"/>
  <c r="O783" i="5" s="1"/>
  <c r="O784" i="5" a="1"/>
  <c r="O784" i="5" s="1"/>
  <c r="O785" i="5" a="1"/>
  <c r="O785" i="5" s="1"/>
  <c r="O786" i="5" a="1"/>
  <c r="O786" i="5" s="1"/>
  <c r="O787" i="5" a="1"/>
  <c r="O787" i="5" s="1"/>
  <c r="O788" i="5" a="1"/>
  <c r="O788" i="5" s="1"/>
  <c r="O789" i="5" a="1"/>
  <c r="O789" i="5" s="1"/>
  <c r="O790" i="5" a="1"/>
  <c r="O790" i="5" s="1"/>
  <c r="O791" i="5" a="1"/>
  <c r="O791" i="5" s="1"/>
  <c r="O792" i="5" a="1"/>
  <c r="O792" i="5" s="1"/>
  <c r="O793" i="5" a="1"/>
  <c r="O793" i="5" s="1"/>
  <c r="O794" i="5" a="1"/>
  <c r="O794" i="5" s="1"/>
  <c r="O795" i="5" a="1"/>
  <c r="O795" i="5" s="1"/>
  <c r="O796" i="5" a="1"/>
  <c r="O796" i="5" s="1"/>
  <c r="O797" i="5" a="1"/>
  <c r="O797" i="5" s="1"/>
  <c r="O798" i="5" a="1"/>
  <c r="O798" i="5" s="1"/>
  <c r="O799" i="5" a="1"/>
  <c r="O799" i="5" s="1"/>
  <c r="O800" i="5" a="1"/>
  <c r="O800" i="5" s="1"/>
  <c r="O801" i="5" a="1"/>
  <c r="O801" i="5" s="1"/>
  <c r="O802" i="5" a="1"/>
  <c r="O802" i="5" s="1"/>
  <c r="O803" i="5" a="1"/>
  <c r="O803" i="5" s="1"/>
  <c r="O804" i="5" a="1"/>
  <c r="O804" i="5" s="1"/>
  <c r="O805" i="5" a="1"/>
  <c r="O805" i="5" s="1"/>
  <c r="O806" i="5" a="1"/>
  <c r="O806" i="5" s="1"/>
  <c r="O807" i="5" a="1"/>
  <c r="O807" i="5" s="1"/>
  <c r="O808" i="5" a="1"/>
  <c r="O808" i="5" s="1"/>
  <c r="O809" i="5" a="1"/>
  <c r="O809" i="5" s="1"/>
  <c r="O810" i="5" a="1"/>
  <c r="O810" i="5" s="1"/>
  <c r="O811" i="5" a="1"/>
  <c r="O811" i="5" s="1"/>
  <c r="O812" i="5" a="1"/>
  <c r="O812" i="5" s="1"/>
  <c r="O813" i="5" a="1"/>
  <c r="O813" i="5" s="1"/>
  <c r="O814" i="5" a="1"/>
  <c r="O814" i="5" s="1"/>
  <c r="O815" i="5" a="1"/>
  <c r="O815" i="5" s="1"/>
  <c r="O816" i="5" a="1"/>
  <c r="O816" i="5" s="1"/>
  <c r="O817" i="5" a="1"/>
  <c r="O817" i="5" s="1"/>
  <c r="O818" i="5" a="1"/>
  <c r="O818" i="5" s="1"/>
  <c r="O819" i="5" a="1"/>
  <c r="O819" i="5" s="1"/>
  <c r="O820" i="5" a="1"/>
  <c r="O820" i="5" s="1"/>
  <c r="O821" i="5" a="1"/>
  <c r="O821" i="5" s="1"/>
  <c r="O822" i="5" a="1"/>
  <c r="O822" i="5" s="1"/>
  <c r="O823" i="5" a="1"/>
  <c r="O823" i="5" s="1"/>
  <c r="O824" i="5" a="1"/>
  <c r="O824" i="5" s="1"/>
  <c r="O825" i="5" a="1"/>
  <c r="O825" i="5" s="1"/>
  <c r="O826" i="5" a="1"/>
  <c r="O826" i="5" s="1"/>
  <c r="O827" i="5" a="1"/>
  <c r="O827" i="5" s="1"/>
  <c r="O828" i="5" a="1"/>
  <c r="O828" i="5" s="1"/>
  <c r="O829" i="5" a="1"/>
  <c r="O829" i="5" s="1"/>
  <c r="O830" i="5" a="1"/>
  <c r="O830" i="5" s="1"/>
  <c r="O831" i="5" a="1"/>
  <c r="O831" i="5" s="1"/>
  <c r="O832" i="5" a="1"/>
  <c r="O832" i="5" s="1"/>
  <c r="O833" i="5" a="1"/>
  <c r="O833" i="5" s="1"/>
  <c r="O834" i="5" a="1"/>
  <c r="O834" i="5" s="1"/>
  <c r="O835" i="5" a="1"/>
  <c r="O835" i="5" s="1"/>
  <c r="O836" i="5" a="1"/>
  <c r="O836" i="5" s="1"/>
  <c r="O837" i="5" a="1"/>
  <c r="O837" i="5" s="1"/>
  <c r="O838" i="5" a="1"/>
  <c r="O838" i="5" s="1"/>
  <c r="O839" i="5" a="1"/>
  <c r="O839" i="5" s="1"/>
  <c r="O840" i="5" a="1"/>
  <c r="O840" i="5" s="1"/>
  <c r="O841" i="5" a="1"/>
  <c r="O841" i="5" s="1"/>
  <c r="O842" i="5" a="1"/>
  <c r="O842" i="5" s="1"/>
  <c r="O843" i="5" a="1"/>
  <c r="O843" i="5" s="1"/>
  <c r="O844" i="5" a="1"/>
  <c r="O844" i="5" s="1"/>
  <c r="O7" i="5" a="1"/>
  <c r="O7" i="5" s="1"/>
  <c r="B6" i="7" l="1" a="1"/>
  <c r="B6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<sst xmlns="http://schemas.openxmlformats.org/spreadsheetml/2006/main" count="1624" uniqueCount="248">
  <si>
    <t>BUILDING</t>
  </si>
  <si>
    <t>LOCATION</t>
  </si>
  <si>
    <t>STAGE</t>
  </si>
  <si>
    <t>AHU NO.</t>
  </si>
  <si>
    <t>FILTER TYPE</t>
  </si>
  <si>
    <t>EFFICIENCY</t>
  </si>
  <si>
    <t>FILTER SIZE</t>
  </si>
  <si>
    <t>QTY</t>
  </si>
  <si>
    <t>FREQUENCY</t>
  </si>
  <si>
    <t>INVOICE
NUMBER</t>
  </si>
  <si>
    <t>DATE OF 
REPLACEMENT</t>
  </si>
  <si>
    <t>SCHEDULED DAY
OF REPLACEMENT</t>
  </si>
  <si>
    <t>24x24x4</t>
  </si>
  <si>
    <t>24x24x12</t>
  </si>
  <si>
    <t>12x24x12</t>
  </si>
  <si>
    <t>12x24x2</t>
  </si>
  <si>
    <t>12x24x4</t>
  </si>
  <si>
    <t>24x24x2</t>
  </si>
  <si>
    <t>20x20x2</t>
  </si>
  <si>
    <t>16x25x2</t>
  </si>
  <si>
    <t>20x25x2</t>
  </si>
  <si>
    <t>16x20x2</t>
  </si>
  <si>
    <t>30 Days</t>
  </si>
  <si>
    <t>PENDING
ORDERS</t>
  </si>
  <si>
    <t>365 Days</t>
  </si>
  <si>
    <t>Legend</t>
  </si>
  <si>
    <t>ANY</t>
  </si>
  <si>
    <t/>
  </si>
  <si>
    <t>90 Days</t>
  </si>
  <si>
    <t>20x24x12</t>
  </si>
  <si>
    <t>3 Years</t>
  </si>
  <si>
    <t>2 Years</t>
  </si>
  <si>
    <t>180 Days</t>
  </si>
  <si>
    <t>Removed</t>
  </si>
  <si>
    <t>18 Months</t>
  </si>
  <si>
    <t>60 Days</t>
  </si>
  <si>
    <t>120 Days</t>
  </si>
  <si>
    <t>PART NUMBER</t>
  </si>
  <si>
    <t>FLOOR/AREA</t>
  </si>
  <si>
    <t>NOTES</t>
  </si>
  <si>
    <t>C5E0B3</t>
  </si>
  <si>
    <t>#FFD965</t>
  </si>
  <si>
    <t>#CCFFFF</t>
  </si>
  <si>
    <t>#FBE4D5</t>
  </si>
  <si>
    <t>#FFFF99</t>
  </si>
  <si>
    <t>#E5A065</t>
  </si>
  <si>
    <t>#F2CEEF</t>
  </si>
  <si>
    <t>#49BFBC</t>
  </si>
  <si>
    <t>OSA</t>
  </si>
  <si>
    <t>20x24x2</t>
  </si>
  <si>
    <t>Main</t>
  </si>
  <si>
    <t xml:space="preserve">Main </t>
  </si>
  <si>
    <t xml:space="preserve"> Basement</t>
  </si>
  <si>
    <t>Intake</t>
  </si>
  <si>
    <t xml:space="preserve">Mechanical Room 139 </t>
  </si>
  <si>
    <t>6th Floor; Mechanical 
Room 632</t>
  </si>
  <si>
    <t>6th Floor; Mechanical 
Room 644</t>
  </si>
  <si>
    <t>5 - South; 5th Floor, 
Mechanical Room 534</t>
  </si>
  <si>
    <t>5 - North; 5th Floor, 
Mechanical Room 547</t>
  </si>
  <si>
    <t>4 - South; 4th Floor, 
Mechanical Room 446</t>
  </si>
  <si>
    <t>4 - North; 4th Floor, 
Mechanical Room 453</t>
  </si>
  <si>
    <t>3 - North; 3rd Floor, 
Mechanical Room 330</t>
  </si>
  <si>
    <t>3 - South; 3rd Floor, 
Mechanical Room 338</t>
  </si>
  <si>
    <t xml:space="preserve">2 - South; 2nd Floor, 
Mechanical Room </t>
  </si>
  <si>
    <t xml:space="preserve">2 - North; 2nd Floor, 
Mechanical Room </t>
  </si>
  <si>
    <t>Outside; Level 2, 
Rooftop (OR)</t>
  </si>
  <si>
    <t>Next to AHU 2A</t>
  </si>
  <si>
    <t xml:space="preserve">3rd Level; Rooftop </t>
  </si>
  <si>
    <t xml:space="preserve">Pham AC Unit; 2nd 
Floor, Aaon Unit </t>
  </si>
  <si>
    <t xml:space="preserve">1st Floor </t>
  </si>
  <si>
    <t>1st Floor</t>
  </si>
  <si>
    <t>Level 2; Rooftop (OR)</t>
  </si>
  <si>
    <t>Level 2; Rooftop</t>
  </si>
  <si>
    <t>Roof Top</t>
  </si>
  <si>
    <t>RTU-1</t>
  </si>
  <si>
    <t>AHU for Main Lobby</t>
  </si>
  <si>
    <t>Roof PH</t>
  </si>
  <si>
    <t>Roof PH (OSA)</t>
  </si>
  <si>
    <t>Westinghouse</t>
  </si>
  <si>
    <t>Building B</t>
  </si>
  <si>
    <t>Penthouse; OSA</t>
  </si>
  <si>
    <t>NICU Building</t>
  </si>
  <si>
    <t>2nd Floor Roof</t>
  </si>
  <si>
    <t>Facilities</t>
  </si>
  <si>
    <t>Mobile Bard (Parking Lot)</t>
  </si>
  <si>
    <t>Basement Telephone 
Room</t>
  </si>
  <si>
    <t>Cat Scan Roof 1st Floor</t>
  </si>
  <si>
    <t>Regina McParlin 
Education Center</t>
  </si>
  <si>
    <t>Pump Room</t>
  </si>
  <si>
    <t>PH</t>
  </si>
  <si>
    <t>New Building</t>
  </si>
  <si>
    <t>PAV-Cancer Center</t>
  </si>
  <si>
    <t>BLDG 1135</t>
  </si>
  <si>
    <t>*</t>
  </si>
  <si>
    <t>2nd Floor</t>
  </si>
  <si>
    <t>(2nd Floor)Exam RM</t>
  </si>
  <si>
    <t>(2nd Floor)Inside Orthopedics</t>
  </si>
  <si>
    <t>2nd Floor California Ocoluplastic and Retina</t>
  </si>
  <si>
    <t>4th Floor</t>
  </si>
  <si>
    <t>#28</t>
  </si>
  <si>
    <t>#18</t>
  </si>
  <si>
    <t>#8</t>
  </si>
  <si>
    <t>#1</t>
  </si>
  <si>
    <t>#2</t>
  </si>
  <si>
    <t xml:space="preserve"> #7</t>
  </si>
  <si>
    <t>#54</t>
  </si>
  <si>
    <t>#4</t>
  </si>
  <si>
    <t>#9</t>
  </si>
  <si>
    <t>4-01</t>
  </si>
  <si>
    <t>4-02</t>
  </si>
  <si>
    <t>4-03</t>
  </si>
  <si>
    <t>4-04</t>
  </si>
  <si>
    <t>4-05</t>
  </si>
  <si>
    <t>4-06</t>
  </si>
  <si>
    <t>4-07</t>
  </si>
  <si>
    <t>4-08</t>
  </si>
  <si>
    <t>4-09</t>
  </si>
  <si>
    <t>4-10</t>
  </si>
  <si>
    <t>4-12</t>
  </si>
  <si>
    <t>4-13</t>
  </si>
  <si>
    <t>4-14</t>
  </si>
  <si>
    <t>4-15</t>
  </si>
  <si>
    <t>4-16</t>
  </si>
  <si>
    <t>4-17</t>
  </si>
  <si>
    <t>4-19</t>
  </si>
  <si>
    <t>4-20</t>
  </si>
  <si>
    <t>4-22</t>
  </si>
  <si>
    <t>4-21</t>
  </si>
  <si>
    <t>4-18</t>
  </si>
  <si>
    <t>4-25</t>
  </si>
  <si>
    <t>4-26</t>
  </si>
  <si>
    <t>4-27</t>
  </si>
  <si>
    <t>4-28</t>
  </si>
  <si>
    <t>4-29</t>
  </si>
  <si>
    <t>04-30</t>
  </si>
  <si>
    <t>04-31</t>
  </si>
  <si>
    <t>04-32</t>
  </si>
  <si>
    <t>04-33</t>
  </si>
  <si>
    <t>AH 1st Floor</t>
  </si>
  <si>
    <t>AH 2nd Floor</t>
  </si>
  <si>
    <t>AH 3rd Floor</t>
  </si>
  <si>
    <t>AH 4th Floor</t>
  </si>
  <si>
    <t>PRE</t>
  </si>
  <si>
    <t>MERV 13; PLEAT</t>
  </si>
  <si>
    <t>Poly Link, 2-PLY</t>
  </si>
  <si>
    <t>HVP (MERV 10) Pleat</t>
  </si>
  <si>
    <t>ZLP (MERV 10) Pleat</t>
  </si>
  <si>
    <t>F8, 4V-Bank Filter</t>
  </si>
  <si>
    <t>MV95</t>
  </si>
  <si>
    <t>M11 (MERV 11) Pleat</t>
  </si>
  <si>
    <t>Poly Panels, 2-PLY</t>
  </si>
  <si>
    <t>Box Filter Non 
Headered</t>
  </si>
  <si>
    <t>F8, 3V-Bank Filter</t>
  </si>
  <si>
    <t>ZLP Pleat</t>
  </si>
  <si>
    <t>ZPS Box Filter DH</t>
  </si>
  <si>
    <t>High Loft</t>
  </si>
  <si>
    <t>ZPS Box Filter Nominal</t>
  </si>
  <si>
    <t>ZPS No Header</t>
  </si>
  <si>
    <t xml:space="preserve">AHU 1 </t>
  </si>
  <si>
    <t xml:space="preserve">AHU 3 </t>
  </si>
  <si>
    <t>AHU 106</t>
  </si>
  <si>
    <t>AHU 104</t>
  </si>
  <si>
    <t>AHU 103</t>
  </si>
  <si>
    <t>AHU 12</t>
  </si>
  <si>
    <t>AHU 11</t>
  </si>
  <si>
    <t>AHU 9</t>
  </si>
  <si>
    <t>AHU 10</t>
  </si>
  <si>
    <t>AHU 8</t>
  </si>
  <si>
    <t>AHU 7</t>
  </si>
  <si>
    <t>AHU 2A</t>
  </si>
  <si>
    <t>AHU 6</t>
  </si>
  <si>
    <t xml:space="preserve">AHU 2 </t>
  </si>
  <si>
    <t>AHU 2</t>
  </si>
  <si>
    <t>AHU-102</t>
  </si>
  <si>
    <t>AHU 101</t>
  </si>
  <si>
    <t>Pace #1</t>
  </si>
  <si>
    <t>AHU 1</t>
  </si>
  <si>
    <t>AHU 100</t>
  </si>
  <si>
    <t>AH1</t>
  </si>
  <si>
    <t>AH2</t>
  </si>
  <si>
    <t>WH</t>
  </si>
  <si>
    <t>Bard</t>
  </si>
  <si>
    <t xml:space="preserve">AHU 4 </t>
  </si>
  <si>
    <t>PACKAGE Unit</t>
  </si>
  <si>
    <t>FC1</t>
  </si>
  <si>
    <t>FC2</t>
  </si>
  <si>
    <t>Unit 1</t>
  </si>
  <si>
    <t>Unit 2</t>
  </si>
  <si>
    <t>Unit 3</t>
  </si>
  <si>
    <t>Unit 4</t>
  </si>
  <si>
    <t>Unit 5</t>
  </si>
  <si>
    <t>Fast Co.</t>
  </si>
  <si>
    <t xml:space="preserve">25x90 </t>
  </si>
  <si>
    <t>25x140</t>
  </si>
  <si>
    <t xml:space="preserve">24x24x12 </t>
  </si>
  <si>
    <t xml:space="preserve">24x24x4 </t>
  </si>
  <si>
    <t xml:space="preserve">16x20x4 </t>
  </si>
  <si>
    <t xml:space="preserve">20x25x2 </t>
  </si>
  <si>
    <t xml:space="preserve">16x20x2  </t>
  </si>
  <si>
    <t xml:space="preserve">12x24x12 </t>
  </si>
  <si>
    <t xml:space="preserve">24x24 </t>
  </si>
  <si>
    <t xml:space="preserve">16x20x2 </t>
  </si>
  <si>
    <t xml:space="preserve">16x25x2 </t>
  </si>
  <si>
    <t>15x31x1</t>
  </si>
  <si>
    <t xml:space="preserve">12x24x4 </t>
  </si>
  <si>
    <t>14x25x2</t>
  </si>
  <si>
    <t>16x30x1</t>
  </si>
  <si>
    <t>16x16x2</t>
  </si>
  <si>
    <t>20x20x1</t>
  </si>
  <si>
    <t>25x30x1</t>
  </si>
  <si>
    <t xml:space="preserve">24x24x2 </t>
  </si>
  <si>
    <t>20x20x12</t>
  </si>
  <si>
    <t>16x25x12</t>
  </si>
  <si>
    <t>16x20x12</t>
  </si>
  <si>
    <t>21x21</t>
  </si>
  <si>
    <t>24x24x6</t>
  </si>
  <si>
    <t>Refers to Pav Center AC 1-2 initial changeout</t>
  </si>
  <si>
    <t>EMANANTE - QUEEN OF THE VALLEY</t>
  </si>
  <si>
    <t>Roof</t>
  </si>
  <si>
    <t>Past Due</t>
  </si>
  <si>
    <t>#FF0000</t>
  </si>
  <si>
    <t>3rd Floor</t>
  </si>
  <si>
    <t>Inside Orthopedics</t>
  </si>
  <si>
    <t>FINAL</t>
  </si>
  <si>
    <t xml:space="preserve">FINAL - 
COLD DECK </t>
  </si>
  <si>
    <t xml:space="preserve">FINAL - 
HOT DECK </t>
  </si>
  <si>
    <t>QUANTITY</t>
  </si>
  <si>
    <t>SCHEDULED DAY OF REPLACEMENT</t>
  </si>
  <si>
    <t>AC2-1</t>
  </si>
  <si>
    <t>AC2-2</t>
  </si>
  <si>
    <t>AC1-1</t>
  </si>
  <si>
    <t>AC1-2</t>
  </si>
  <si>
    <t xml:space="preserve">Contract # 9061 PO #762152 ; BLDG 1135 </t>
  </si>
  <si>
    <t>FILTER // CITY OF HOPE - DUARTE // FILTER</t>
  </si>
  <si>
    <t>20x20x4</t>
  </si>
  <si>
    <t>changed from 20x20x2 -&gt; 20x20x4 w qt 12 approved by Byron (according to edgars email)</t>
  </si>
  <si>
    <t>Removed with Byron's approval</t>
  </si>
  <si>
    <t>Box Filter Non Header per PS 27627</t>
  </si>
  <si>
    <t>pres</t>
  </si>
  <si>
    <t>Changed from 90Day frequency -&gt; 180Day Frequency per Kevin and Miss Ivy's request; Edgar Email Subject:  QOV pharmacy frequency</t>
  </si>
  <si>
    <t xml:space="preserve"> qty 10-&gt;15 per PS 27933</t>
  </si>
  <si>
    <t>Removed per PS 27933</t>
  </si>
  <si>
    <t>Chapel</t>
  </si>
  <si>
    <t>25x75</t>
  </si>
  <si>
    <t>Added per Byron's request; Edgars email subject: "Adding of Chapel AH"</t>
  </si>
  <si>
    <t>Pharmacy 250</t>
  </si>
  <si>
    <t>Contract PO #M23264 (MAIN BUILDING)</t>
  </si>
  <si>
    <t>Contract #8596 PO #M24060 (NEW BLDG PAV CENTER)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</si>
</sst>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General;;@"/>
    <numFmt numFmtId="165" formatCode="m/d/yyyy;m/d/yyyy;;@"/>
  </numFmts>
  <fonts count="2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trike/>
      <sz val="12"/>
      <color rgb="FFC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4" tint="-0.24997711111789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b/>
      <sz val="12"/>
      <color rgb="FFED0000"/>
      <name val="Aptos Narrow"/>
      <family val="2"/>
      <scheme val="minor"/>
    </font>
    <font>
      <b/>
      <strike/>
      <sz val="12"/>
      <color rgb="FFFF0000"/>
      <name val="Aptos Narrow"/>
      <family val="2"/>
      <scheme val="minor"/>
    </font>
    <font>
      <b/>
      <sz val="12"/>
      <color rgb="FFFF3300"/>
      <name val="Aptos Narrow"/>
      <family val="2"/>
      <scheme val="minor"/>
    </font>
    <font>
      <b/>
      <strike/>
      <sz val="12"/>
      <color rgb="FFFF33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trike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2"/>
      <color theme="0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u/>
      <sz val="12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3" tint="0.749992370372631"/>
        <bgColor rgb="FFD9E2F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rgb="FFFFFF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5A065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49BFB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/>
    <xf numFmtId="0" fontId="2" fillId="5" borderId="1" xfId="0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4" fontId="5" fillId="9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4" fontId="5" fillId="8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left" vertical="center" indent="1"/>
    </xf>
    <xf numFmtId="0" fontId="0" fillId="0" borderId="11" xfId="0" applyBorder="1" applyAlignment="1">
      <alignment horizontal="left" vertical="top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left" vertical="center" indent="1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9" xfId="0" applyBorder="1"/>
    <xf numFmtId="0" fontId="5" fillId="2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14" fontId="5" fillId="2" borderId="12" xfId="0" applyNumberFormat="1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1" fontId="14" fillId="0" borderId="0" xfId="0" applyNumberFormat="1" applyFont="1" applyAlignment="1">
      <alignment horizontal="center" vertical="center" shrinkToFit="1"/>
    </xf>
    <xf numFmtId="0" fontId="14" fillId="0" borderId="0" xfId="0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 shrinkToFit="1"/>
    </xf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shrinkToFit="1"/>
    </xf>
    <xf numFmtId="14" fontId="1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4" borderId="1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/>
    <xf numFmtId="0" fontId="17" fillId="0" borderId="0" xfId="0" applyFont="1" applyAlignment="1">
      <alignment horizontal="center" vertical="center" wrapText="1"/>
    </xf>
    <xf numFmtId="1" fontId="17" fillId="0" borderId="0" xfId="0" applyNumberFormat="1" applyFont="1" applyAlignment="1">
      <alignment horizontal="center" vertical="center" shrinkToFit="1"/>
    </xf>
    <xf numFmtId="0" fontId="17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5" fillId="14" borderId="0" xfId="0" applyFont="1" applyFill="1"/>
    <xf numFmtId="0" fontId="5" fillId="14" borderId="0" xfId="0" applyFont="1" applyFill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center" vertical="center"/>
    </xf>
    <xf numFmtId="14" fontId="14" fillId="14" borderId="0" xfId="0" applyNumberFormat="1" applyFont="1" applyFill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1" fillId="0" borderId="2" xfId="0" applyNumberFormat="1" applyFont="1" applyBorder="1" applyAlignment="1">
      <alignment horizontal="left" vertical="center"/>
    </xf>
    <xf numFmtId="164" fontId="1" fillId="0" borderId="3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3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164" fontId="16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vertical="center"/>
    </xf>
    <xf numFmtId="164" fontId="23" fillId="2" borderId="13" xfId="0" applyNumberFormat="1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164" fontId="23" fillId="2" borderId="13" xfId="0" applyNumberFormat="1" applyFont="1" applyFill="1" applyBorder="1" applyAlignment="1">
      <alignment horizontal="center" vertical="center"/>
    </xf>
    <xf numFmtId="165" fontId="23" fillId="2" borderId="13" xfId="0" applyNumberFormat="1" applyFont="1" applyFill="1" applyBorder="1" applyAlignment="1">
      <alignment horizontal="center" vertical="center" wrapText="1"/>
    </xf>
    <xf numFmtId="164" fontId="23" fillId="4" borderId="13" xfId="0" applyNumberFormat="1" applyFont="1" applyFill="1" applyBorder="1" applyAlignment="1">
      <alignment horizontal="center" vertical="center" wrapText="1"/>
    </xf>
    <xf numFmtId="164" fontId="23" fillId="4" borderId="14" xfId="0" applyNumberFormat="1" applyFont="1" applyFill="1" applyBorder="1" applyAlignment="1">
      <alignment horizontal="center" vertical="center" wrapText="1"/>
    </xf>
    <xf numFmtId="0" fontId="1" fillId="0" borderId="0" xfId="0" quotePrefix="1" applyFont="1" applyAlignment="1">
      <alignment vertical="center"/>
    </xf>
    <xf numFmtId="164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24" fillId="15" borderId="1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5" fillId="16" borderId="0" xfId="0" applyFont="1" applyFill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692"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/>
        <color rgb="FFFF3300"/>
      </font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6" formatCode=";;;"/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/>
        <color rgb="FFFF3300"/>
      </font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/>
        <color rgb="FFFF3300"/>
      </font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/>
        <color rgb="FFFF3300"/>
      </font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/>
        <color rgb="FFFF3300"/>
      </font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/>
        <color rgb="FFFF3300"/>
      </font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/>
        <color rgb="FFFF3300"/>
      </font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49BFBC"/>
      <color rgb="FFFFD965"/>
      <color rgb="FFFBE4D5"/>
      <color rgb="FFC5E0B3"/>
      <color rgb="FFE5A065"/>
      <color rgb="FFCCFFFF"/>
      <color rgb="FFF2CEEF"/>
      <color rgb="FFFFFF99"/>
      <color rgb="FFEAB69F"/>
      <color rgb="FF3EB0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77055-11D1-4F5D-B577-D1D13B904DF1}">
  <dimension ref="B1:T844"/>
  <sheetViews>
    <sheetView tabSelected="1" zoomScale="70" zoomScaleNormal="70" workbookViewId="0">
      <pane ySplit="5" topLeftCell="A6" activePane="bottomLeft" state="frozen"/>
      <selection pane="bottomLeft" activeCell="L21" sqref="L21"/>
    </sheetView>
  </sheetViews>
  <sheetFormatPr defaultRowHeight="14.3" x14ac:dyDescent="0.25"/>
  <cols>
    <col min="2" max="2" width="27.375" customWidth="1"/>
    <col min="3" max="3" width="43.125" customWidth="1"/>
    <col min="4" max="4" width="21" hidden="1" customWidth="1"/>
    <col min="5" max="5" width="22.125" bestFit="1" customWidth="1"/>
    <col min="6" max="6" width="23.875" style="29" bestFit="1" customWidth="1"/>
    <col min="7" max="7" width="23.75" style="30" bestFit="1" customWidth="1"/>
    <col min="8" max="9" width="15.75" hidden="1" customWidth="1"/>
    <col min="10" max="12" width="15.75" style="31" customWidth="1"/>
    <col min="13" max="13" width="15.75" customWidth="1"/>
    <col min="14" max="14" width="20.75" style="32" customWidth="1"/>
    <col min="15" max="15" width="19" style="32" bestFit="1" customWidth="1"/>
    <col min="16" max="16" width="15.75" style="75" customWidth="1"/>
    <col min="17" max="17" width="31" customWidth="1"/>
    <col min="19" max="19" width="14.75" customWidth="1"/>
  </cols>
  <sheetData>
    <row r="1" spans="2:20" ht="14.95" thickBot="1" x14ac:dyDescent="0.3">
      <c r="P1" s="31"/>
    </row>
    <row r="2" spans="2:20" ht="14.95" customHeight="1" x14ac:dyDescent="0.25">
      <c r="B2" s="131" t="s">
        <v>217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3"/>
    </row>
    <row r="3" spans="2:20" ht="14.95" customHeight="1" thickBot="1" x14ac:dyDescent="0.3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6"/>
    </row>
    <row r="4" spans="2:20" ht="15.8" thickBot="1" x14ac:dyDescent="0.3">
      <c r="B4" s="33"/>
      <c r="C4" s="34"/>
      <c r="D4" s="34"/>
      <c r="E4" s="34"/>
      <c r="F4" s="35"/>
      <c r="G4" s="36"/>
      <c r="H4" s="36"/>
      <c r="I4" s="34"/>
      <c r="J4" s="37"/>
      <c r="K4" s="37"/>
      <c r="L4" s="37"/>
      <c r="M4" s="4"/>
      <c r="N4" s="38"/>
      <c r="O4" s="38"/>
      <c r="P4" s="37"/>
      <c r="Q4" s="39"/>
    </row>
    <row r="5" spans="2:20" ht="31.6" x14ac:dyDescent="0.25">
      <c r="B5" s="40" t="s">
        <v>0</v>
      </c>
      <c r="C5" s="40" t="s">
        <v>1</v>
      </c>
      <c r="D5" s="40" t="s">
        <v>38</v>
      </c>
      <c r="E5" s="41" t="s">
        <v>2</v>
      </c>
      <c r="F5" s="40" t="s">
        <v>3</v>
      </c>
      <c r="G5" s="40" t="s">
        <v>4</v>
      </c>
      <c r="H5" s="40" t="s">
        <v>37</v>
      </c>
      <c r="I5" s="40" t="s">
        <v>5</v>
      </c>
      <c r="J5" s="40" t="s">
        <v>6</v>
      </c>
      <c r="K5" s="40" t="s">
        <v>7</v>
      </c>
      <c r="L5" s="40" t="s">
        <v>8</v>
      </c>
      <c r="M5" s="40" t="s">
        <v>9</v>
      </c>
      <c r="N5" s="42" t="s">
        <v>10</v>
      </c>
      <c r="O5" s="42" t="s">
        <v>11</v>
      </c>
      <c r="P5" s="76" t="s">
        <v>23</v>
      </c>
      <c r="Q5" s="43" t="s">
        <v>39</v>
      </c>
    </row>
    <row r="6" spans="2:20" ht="15.8" x14ac:dyDescent="0.25">
      <c r="B6" s="84"/>
      <c r="C6" s="84"/>
      <c r="D6" s="84"/>
      <c r="E6" s="84" t="s">
        <v>27</v>
      </c>
      <c r="F6" s="84"/>
      <c r="G6" s="84"/>
      <c r="H6" s="84"/>
      <c r="I6" s="84"/>
      <c r="J6" s="84" t="s">
        <v>246</v>
      </c>
      <c r="K6" s="84"/>
      <c r="L6" s="84"/>
      <c r="M6" s="84"/>
      <c r="N6" s="84"/>
      <c r="O6" s="89" t="str" cm="1">
        <f t="array" ref="O6" xml:space="preserve"> IF(AND($L6 &lt;&gt; "", $L6 &lt;&gt; "Removed"), N6 + _xlfn.IFS(_xlfn.TEXTAFTER(L6," ",1) = "Days", _xlfn.NUMBERVALUE(_xlfn.TEXTBEFORE(L6," ",1)), L6="18 Months", 547, _xlfn.TEXTAFTER(L6," ",1) = "Years", _xlfn.NUMBERVALUE(_xlfn.TEXTBEFORE(L6," ",1))*365), "")</f>
        <v/>
      </c>
      <c r="P6" s="84"/>
      <c r="Q6" s="84"/>
    </row>
    <row r="7" spans="2:20" ht="16.3" x14ac:dyDescent="0.3">
      <c r="B7" s="15" t="s">
        <v>50</v>
      </c>
      <c r="C7" s="15" t="s">
        <v>52</v>
      </c>
      <c r="D7" s="15"/>
      <c r="E7" s="15" t="s">
        <v>142</v>
      </c>
      <c r="F7" s="44"/>
      <c r="G7" s="44" t="s">
        <v>143</v>
      </c>
      <c r="H7" s="45"/>
      <c r="I7" s="15"/>
      <c r="J7" s="45" t="s">
        <v>18</v>
      </c>
      <c r="K7" s="46">
        <v>29</v>
      </c>
      <c r="L7" s="16" t="s">
        <v>28</v>
      </c>
      <c r="M7" s="49">
        <v>28830</v>
      </c>
      <c r="N7" s="48">
        <v>46029</v>
      </c>
      <c r="O7" s="48" cm="1">
        <f t="array" ref="O7" xml:space="preserve"> IF(AND($L7 &lt;&gt; "", $L7 &lt;&gt; "Removed"), N7 + _xlfn.IFS(_xlfn.TEXTAFTER(L7," ",1) = "Days", _xlfn.NUMBERVALUE(_xlfn.TEXTBEFORE(L7," ",1)), L7="18 Months", 547, _xlfn.TEXTAFTER(L7," ",1) = "Years", _xlfn.NUMBERVALUE(_xlfn.TEXTBEFORE(L7," ",1))*365), "")</f>
        <v>46119</v>
      </c>
      <c r="P7" s="49">
        <v>28830</v>
      </c>
      <c r="Q7" s="49"/>
      <c r="S7" s="137" t="s">
        <v>25</v>
      </c>
      <c r="T7" s="137"/>
    </row>
    <row r="8" spans="2:20" ht="16.3" x14ac:dyDescent="0.3">
      <c r="B8" s="15"/>
      <c r="C8" s="15"/>
      <c r="D8" s="15"/>
      <c r="E8" s="15" t="s">
        <v>27</v>
      </c>
      <c r="F8" s="44"/>
      <c r="G8" s="44"/>
      <c r="H8" s="45"/>
      <c r="I8" s="15"/>
      <c r="J8" s="45"/>
      <c r="K8" s="46"/>
      <c r="L8" s="16" t="s">
        <v>27</v>
      </c>
      <c r="M8" s="47"/>
      <c r="N8" s="48"/>
      <c r="O8" s="48" t="str" cm="1">
        <f t="array" ref="O8" xml:space="preserve"> IF(AND($L8 &lt;&gt; "", $L8 &lt;&gt; "Removed"), N8 + _xlfn.IFS(_xlfn.TEXTAFTER(L8," ",1) = "Days", _xlfn.NUMBERVALUE(_xlfn.TEXTBEFORE(L8," ",1)), L8="18 Months", 547, _xlfn.TEXTAFTER(L8," ",1) = "Years", _xlfn.NUMBERVALUE(_xlfn.TEXTBEFORE(L8," ",1))*365), "")</f>
        <v/>
      </c>
      <c r="P8" s="49"/>
      <c r="Q8" s="49"/>
      <c r="S8" s="137"/>
      <c r="T8" s="137"/>
    </row>
    <row r="9" spans="2:20" ht="15.8" customHeight="1" x14ac:dyDescent="0.25">
      <c r="B9" s="15" t="s">
        <v>50</v>
      </c>
      <c r="C9" s="15" t="s">
        <v>53</v>
      </c>
      <c r="D9" s="15"/>
      <c r="E9" s="15" t="s">
        <v>142</v>
      </c>
      <c r="F9" s="44" t="s">
        <v>158</v>
      </c>
      <c r="G9" s="50" t="s">
        <v>144</v>
      </c>
      <c r="H9" s="51"/>
      <c r="I9" s="15"/>
      <c r="J9" s="45" t="s">
        <v>192</v>
      </c>
      <c r="K9" s="46">
        <v>2</v>
      </c>
      <c r="L9" s="16" t="s">
        <v>22</v>
      </c>
      <c r="M9" s="49">
        <v>28830</v>
      </c>
      <c r="N9" s="48">
        <v>46029</v>
      </c>
      <c r="O9" s="48" cm="1">
        <f t="array" ref="O9" xml:space="preserve"> IF(AND($L9 &lt;&gt; "", $L9 &lt;&gt; "Removed"), N9 + _xlfn.IFS(_xlfn.TEXTAFTER(L9," ",1) = "Days", _xlfn.NUMBERVALUE(_xlfn.TEXTBEFORE(L9," ",1)), L9="18 Months", 547, _xlfn.TEXTAFTER(L9," ",1) = "Years", _xlfn.NUMBERVALUE(_xlfn.TEXTBEFORE(L9," ",1))*365), "")</f>
        <v>46059</v>
      </c>
      <c r="P9" s="49">
        <v>28550</v>
      </c>
      <c r="Q9" s="49"/>
      <c r="S9" s="85" t="s">
        <v>22</v>
      </c>
      <c r="T9" s="86" t="s">
        <v>44</v>
      </c>
    </row>
    <row r="10" spans="2:20" ht="15.8" x14ac:dyDescent="0.25">
      <c r="B10" s="15" t="s">
        <v>50</v>
      </c>
      <c r="C10" s="15" t="s">
        <v>53</v>
      </c>
      <c r="D10" s="15"/>
      <c r="E10" s="15" t="s">
        <v>142</v>
      </c>
      <c r="F10" s="44" t="s">
        <v>158</v>
      </c>
      <c r="G10" s="50" t="s">
        <v>144</v>
      </c>
      <c r="H10" s="51"/>
      <c r="I10" s="15"/>
      <c r="J10" s="45" t="s">
        <v>193</v>
      </c>
      <c r="K10" s="46">
        <v>1</v>
      </c>
      <c r="L10" s="16" t="s">
        <v>22</v>
      </c>
      <c r="M10" s="49">
        <v>28830</v>
      </c>
      <c r="N10" s="48">
        <v>46029</v>
      </c>
      <c r="O10" s="48" cm="1">
        <f t="array" ref="O10" xml:space="preserve"> IF(AND($L10 &lt;&gt; "", $L10 &lt;&gt; "Removed"), N10 + _xlfn.IFS(_xlfn.TEXTAFTER(L10," ",1) = "Days", _xlfn.NUMBERVALUE(_xlfn.TEXTBEFORE(L10," ",1)), L10="18 Months", 547, _xlfn.TEXTAFTER(L10," ",1) = "Years", _xlfn.NUMBERVALUE(_xlfn.TEXTBEFORE(L10," ",1))*365), "")</f>
        <v>46059</v>
      </c>
      <c r="P10" s="49">
        <v>28550</v>
      </c>
      <c r="Q10" s="49"/>
      <c r="S10" s="13" t="s">
        <v>35</v>
      </c>
      <c r="T10" s="53" t="s">
        <v>46</v>
      </c>
    </row>
    <row r="11" spans="2:20" ht="15.8" x14ac:dyDescent="0.25">
      <c r="B11" s="15"/>
      <c r="C11" s="15"/>
      <c r="D11" s="15"/>
      <c r="E11" s="15" t="s">
        <v>27</v>
      </c>
      <c r="F11" s="22"/>
      <c r="G11" s="44"/>
      <c r="H11" s="15"/>
      <c r="I11" s="15"/>
      <c r="J11" s="16"/>
      <c r="K11" s="16"/>
      <c r="L11" s="16" t="s">
        <v>27</v>
      </c>
      <c r="M11" s="16"/>
      <c r="N11" s="27"/>
      <c r="O11" s="48" t="str" cm="1">
        <f t="array" ref="O11" xml:space="preserve"> IF(AND($L11 &lt;&gt; "", $L11 &lt;&gt; "Removed"), N11 + _xlfn.IFS(_xlfn.TEXTAFTER(L11," ",1) = "Days", _xlfn.NUMBERVALUE(_xlfn.TEXTBEFORE(L11," ",1)), L11="18 Months", 547, _xlfn.TEXTAFTER(L11," ",1) = "Years", _xlfn.NUMBERVALUE(_xlfn.TEXTBEFORE(L11," ",1))*365), "")</f>
        <v/>
      </c>
      <c r="P11" s="49"/>
      <c r="Q11" s="15"/>
      <c r="S11" s="6" t="s">
        <v>28</v>
      </c>
      <c r="T11" s="54" t="s">
        <v>42</v>
      </c>
    </row>
    <row r="12" spans="2:20" ht="15.8" x14ac:dyDescent="0.25">
      <c r="B12" s="15" t="s">
        <v>50</v>
      </c>
      <c r="C12" s="15" t="s">
        <v>54</v>
      </c>
      <c r="D12" s="15"/>
      <c r="E12" s="15" t="s">
        <v>142</v>
      </c>
      <c r="F12" s="44" t="s">
        <v>159</v>
      </c>
      <c r="G12" s="44" t="s">
        <v>145</v>
      </c>
      <c r="H12" s="45"/>
      <c r="I12" s="15"/>
      <c r="J12" s="45" t="s">
        <v>18</v>
      </c>
      <c r="K12" s="46">
        <v>20</v>
      </c>
      <c r="L12" s="16" t="s">
        <v>28</v>
      </c>
      <c r="M12" s="49">
        <v>28830</v>
      </c>
      <c r="N12" s="48">
        <v>46029</v>
      </c>
      <c r="O12" s="48" cm="1">
        <f t="array" ref="O12" xml:space="preserve"> IF(AND($L12 &lt;&gt; "", $L12 &lt;&gt; "Removed"), N12 + _xlfn.IFS(_xlfn.TEXTAFTER(L12," ",1) = "Days", _xlfn.NUMBERVALUE(_xlfn.TEXTBEFORE(L12," ",1)), L12="18 Months", 547, _xlfn.TEXTAFTER(L12," ",1) = "Years", _xlfn.NUMBERVALUE(_xlfn.TEXTBEFORE(L12," ",1))*365), "")</f>
        <v>46119</v>
      </c>
      <c r="P12" s="49">
        <v>28830</v>
      </c>
      <c r="Q12" s="49"/>
      <c r="S12" s="11" t="s">
        <v>36</v>
      </c>
      <c r="T12" s="55" t="s">
        <v>45</v>
      </c>
    </row>
    <row r="13" spans="2:20" ht="15.8" x14ac:dyDescent="0.25">
      <c r="B13" s="15"/>
      <c r="C13" s="15"/>
      <c r="D13" s="15"/>
      <c r="E13" s="15" t="s">
        <v>27</v>
      </c>
      <c r="F13" s="44"/>
      <c r="H13" s="45"/>
      <c r="I13" s="15"/>
      <c r="J13" s="45"/>
      <c r="K13" s="46"/>
      <c r="L13" s="16" t="s">
        <v>27</v>
      </c>
      <c r="M13" s="47"/>
      <c r="N13" s="48"/>
      <c r="O13" s="48" t="str" cm="1">
        <f t="array" ref="O13" xml:space="preserve"> IF(AND($L13 &lt;&gt; "", $L13 &lt;&gt; "Removed"), N13 + _xlfn.IFS(_xlfn.TEXTAFTER(L13," ",1) = "Days", _xlfn.NUMBERVALUE(_xlfn.TEXTBEFORE(L13," ",1)), L13="18 Months", 547, _xlfn.TEXTAFTER(L13," ",1) = "Years", _xlfn.NUMBERVALUE(_xlfn.TEXTBEFORE(L13," ",1))*365), "")</f>
        <v/>
      </c>
      <c r="P13" s="49"/>
      <c r="Q13" s="49"/>
      <c r="S13" s="5" t="s">
        <v>32</v>
      </c>
      <c r="T13" s="56" t="s">
        <v>40</v>
      </c>
    </row>
    <row r="14" spans="2:20" ht="15.8" x14ac:dyDescent="0.25">
      <c r="B14" s="15" t="s">
        <v>50</v>
      </c>
      <c r="C14" s="15" t="s">
        <v>55</v>
      </c>
      <c r="D14" s="15"/>
      <c r="E14" s="15" t="s">
        <v>142</v>
      </c>
      <c r="F14" s="44" t="s">
        <v>160</v>
      </c>
      <c r="G14" s="50" t="s">
        <v>146</v>
      </c>
      <c r="H14" s="51"/>
      <c r="I14" s="15"/>
      <c r="J14" s="45" t="s">
        <v>19</v>
      </c>
      <c r="K14" s="46">
        <v>8</v>
      </c>
      <c r="L14" s="16" t="s">
        <v>28</v>
      </c>
      <c r="M14" s="49">
        <v>28830</v>
      </c>
      <c r="N14" s="48">
        <v>46029</v>
      </c>
      <c r="O14" s="48" cm="1">
        <f t="array" ref="O14" xml:space="preserve"> IF(AND($L14 &lt;&gt; "", $L14 &lt;&gt; "Removed"), N14 + _xlfn.IFS(_xlfn.TEXTAFTER(L14," ",1) = "Days", _xlfn.NUMBERVALUE(_xlfn.TEXTBEFORE(L14," ",1)), L14="18 Months", 547, _xlfn.TEXTAFTER(L14," ",1) = "Years", _xlfn.NUMBERVALUE(_xlfn.TEXTBEFORE(L14," ",1))*365), "")</f>
        <v>46119</v>
      </c>
      <c r="P14" s="49">
        <v>28830</v>
      </c>
      <c r="Q14" s="49"/>
      <c r="S14" s="7" t="s">
        <v>24</v>
      </c>
      <c r="T14" s="57" t="s">
        <v>43</v>
      </c>
    </row>
    <row r="15" spans="2:20" ht="15.8" x14ac:dyDescent="0.25">
      <c r="B15" s="15" t="s">
        <v>50</v>
      </c>
      <c r="C15" s="15" t="s">
        <v>55</v>
      </c>
      <c r="D15" s="15"/>
      <c r="E15" s="15" t="s">
        <v>223</v>
      </c>
      <c r="F15" s="44" t="s">
        <v>160</v>
      </c>
      <c r="G15" s="50" t="s">
        <v>147</v>
      </c>
      <c r="H15" s="51"/>
      <c r="I15" s="15"/>
      <c r="J15" s="45" t="s">
        <v>194</v>
      </c>
      <c r="K15" s="46">
        <v>8</v>
      </c>
      <c r="L15" s="16" t="s">
        <v>34</v>
      </c>
      <c r="M15" s="47">
        <v>27627</v>
      </c>
      <c r="N15" s="48">
        <v>45909</v>
      </c>
      <c r="O15" s="48" cm="1">
        <f t="array" ref="O15" xml:space="preserve"> IF(AND($L15 &lt;&gt; "", $L15 &lt;&gt; "Removed"), N15 + _xlfn.IFS(_xlfn.TEXTAFTER(L15," ",1) = "Days", _xlfn.NUMBERVALUE(_xlfn.TEXTBEFORE(L15," ",1)), L15="18 Months", 547, _xlfn.TEXTAFTER(L15," ",1) = "Years", _xlfn.NUMBERVALUE(_xlfn.TEXTBEFORE(L15," ",1))*365), "")</f>
        <v>46456</v>
      </c>
      <c r="P15" s="49"/>
      <c r="Q15" s="49"/>
      <c r="S15" s="9" t="s">
        <v>34</v>
      </c>
      <c r="T15" s="58"/>
    </row>
    <row r="16" spans="2:20" ht="15.8" x14ac:dyDescent="0.25">
      <c r="B16" s="15"/>
      <c r="C16" s="15"/>
      <c r="D16" s="15"/>
      <c r="E16" s="15" t="s">
        <v>27</v>
      </c>
      <c r="F16" s="22"/>
      <c r="G16" s="26"/>
      <c r="H16" s="15"/>
      <c r="I16" s="15"/>
      <c r="J16" s="16"/>
      <c r="K16" s="16"/>
      <c r="L16" s="16" t="s">
        <v>27</v>
      </c>
      <c r="M16" s="16"/>
      <c r="N16" s="27"/>
      <c r="O16" s="48" t="str" cm="1">
        <f t="array" ref="O16" xml:space="preserve"> IF(AND($L16 &lt;&gt; "", $L16 &lt;&gt; "Removed"), N16 + _xlfn.IFS(_xlfn.TEXTAFTER(L16," ",1) = "Days", _xlfn.NUMBERVALUE(_xlfn.TEXTBEFORE(L16," ",1)), L16="18 Months", 547, _xlfn.TEXTAFTER(L16," ",1) = "Years", _xlfn.NUMBERVALUE(_xlfn.TEXTBEFORE(L16," ",1))*365), "")</f>
        <v/>
      </c>
      <c r="P16" s="49"/>
      <c r="Q16" s="15"/>
      <c r="S16" s="12" t="s">
        <v>31</v>
      </c>
      <c r="T16" s="59" t="s">
        <v>47</v>
      </c>
    </row>
    <row r="17" spans="2:20" ht="15.8" x14ac:dyDescent="0.25">
      <c r="B17" s="15" t="s">
        <v>50</v>
      </c>
      <c r="C17" s="15" t="s">
        <v>56</v>
      </c>
      <c r="D17" s="15"/>
      <c r="E17" s="15" t="s">
        <v>142</v>
      </c>
      <c r="F17" s="44"/>
      <c r="G17" s="44" t="s">
        <v>146</v>
      </c>
      <c r="H17" s="45"/>
      <c r="I17" s="15"/>
      <c r="J17" s="45" t="s">
        <v>19</v>
      </c>
      <c r="K17" s="46">
        <v>8</v>
      </c>
      <c r="L17" s="16" t="s">
        <v>33</v>
      </c>
      <c r="M17" s="47">
        <v>28830</v>
      </c>
      <c r="N17" s="48">
        <v>45840</v>
      </c>
      <c r="O17" s="48" t="str" cm="1">
        <f t="array" ref="O17" xml:space="preserve"> IF(AND($L17 &lt;&gt; "", $L17 &lt;&gt; "Removed"), N17 + _xlfn.IFS(_xlfn.TEXTAFTER(L17," ",1) = "Days", _xlfn.NUMBERVALUE(_xlfn.TEXTBEFORE(L17," ",1)), L17="18 Months", 547, _xlfn.TEXTAFTER(L17," ",1) = "Years", _xlfn.NUMBERVALUE(_xlfn.TEXTBEFORE(L17," ",1))*365), "")</f>
        <v/>
      </c>
      <c r="P17" s="49"/>
      <c r="Q17" s="49" t="s">
        <v>236</v>
      </c>
      <c r="S17" s="8" t="s">
        <v>30</v>
      </c>
      <c r="T17" s="60" t="s">
        <v>41</v>
      </c>
    </row>
    <row r="18" spans="2:20" ht="15.8" x14ac:dyDescent="0.25">
      <c r="B18" s="15" t="s">
        <v>50</v>
      </c>
      <c r="C18" s="15" t="s">
        <v>56</v>
      </c>
      <c r="D18" s="15"/>
      <c r="E18" s="15" t="s">
        <v>223</v>
      </c>
      <c r="F18" s="44"/>
      <c r="G18" s="44" t="s">
        <v>147</v>
      </c>
      <c r="H18" s="45"/>
      <c r="I18" s="15"/>
      <c r="J18" s="45" t="s">
        <v>13</v>
      </c>
      <c r="K18" s="46">
        <v>8</v>
      </c>
      <c r="L18" s="16" t="s">
        <v>33</v>
      </c>
      <c r="M18" s="47">
        <v>28830</v>
      </c>
      <c r="N18" s="48">
        <v>45362</v>
      </c>
      <c r="O18" s="48" t="str" cm="1">
        <f t="array" ref="O18" xml:space="preserve"> IF(AND($L18 &lt;&gt; "", $L18 &lt;&gt; "Removed"), N18 + _xlfn.IFS(_xlfn.TEXTAFTER(L18," ",1) = "Days", _xlfn.NUMBERVALUE(_xlfn.TEXTBEFORE(L18," ",1)), L18="18 Months", 547, _xlfn.TEXTAFTER(L18," ",1) = "Years", _xlfn.NUMBERVALUE(_xlfn.TEXTBEFORE(L18," ",1))*365), "")</f>
        <v/>
      </c>
      <c r="P18" s="49">
        <v>27627</v>
      </c>
      <c r="Q18" s="49" t="s">
        <v>236</v>
      </c>
      <c r="S18" s="3" t="s">
        <v>33</v>
      </c>
      <c r="T18" s="2" t="s">
        <v>26</v>
      </c>
    </row>
    <row r="19" spans="2:20" ht="15.8" x14ac:dyDescent="0.25">
      <c r="B19" s="15"/>
      <c r="C19" s="15"/>
      <c r="D19" s="15"/>
      <c r="E19" s="15" t="s">
        <v>27</v>
      </c>
      <c r="F19" s="44"/>
      <c r="G19" s="44"/>
      <c r="H19" s="45"/>
      <c r="I19" s="15"/>
      <c r="J19" s="45"/>
      <c r="K19" s="46"/>
      <c r="L19" s="16" t="s">
        <v>27</v>
      </c>
      <c r="M19" s="47"/>
      <c r="N19" s="48"/>
      <c r="O19" s="48" t="str" cm="1">
        <f t="array" ref="O19" xml:space="preserve"> IF(AND($L19 &lt;&gt; "", $L19 &lt;&gt; "Removed"), N19 + _xlfn.IFS(_xlfn.TEXTAFTER(L19," ",1) = "Days", _xlfn.NUMBERVALUE(_xlfn.TEXTBEFORE(L19," ",1)), L19="18 Months", 547, _xlfn.TEXTAFTER(L19," ",1) = "Years", _xlfn.NUMBERVALUE(_xlfn.TEXTBEFORE(L19," ",1))*365), "")</f>
        <v/>
      </c>
      <c r="P19" s="49"/>
      <c r="Q19" s="49"/>
      <c r="S19" s="87" t="s">
        <v>219</v>
      </c>
      <c r="T19" s="88" t="s">
        <v>220</v>
      </c>
    </row>
    <row r="20" spans="2:20" ht="15.8" x14ac:dyDescent="0.25">
      <c r="B20" s="15" t="s">
        <v>50</v>
      </c>
      <c r="C20" s="15" t="s">
        <v>57</v>
      </c>
      <c r="D20" s="15"/>
      <c r="E20" s="15" t="s">
        <v>142</v>
      </c>
      <c r="F20" s="44" t="s">
        <v>161</v>
      </c>
      <c r="G20" s="50" t="s">
        <v>146</v>
      </c>
      <c r="H20" s="51"/>
      <c r="I20" s="15"/>
      <c r="J20" s="45" t="s">
        <v>19</v>
      </c>
      <c r="K20" s="46">
        <v>8</v>
      </c>
      <c r="L20" s="16" t="s">
        <v>28</v>
      </c>
      <c r="M20" s="49">
        <v>28830</v>
      </c>
      <c r="N20" s="48">
        <v>46029</v>
      </c>
      <c r="O20" s="48" cm="1">
        <f t="array" ref="O20" xml:space="preserve"> IF(AND($L20 &lt;&gt; "", $L20 &lt;&gt; "Removed"), N20 + _xlfn.IFS(_xlfn.TEXTAFTER(L20," ",1) = "Days", _xlfn.NUMBERVALUE(_xlfn.TEXTBEFORE(L20," ",1)), L20="18 Months", 547, _xlfn.TEXTAFTER(L20," ",1) = "Years", _xlfn.NUMBERVALUE(_xlfn.TEXTBEFORE(L20," ",1))*365), "")</f>
        <v>46119</v>
      </c>
      <c r="P20" s="49">
        <v>28830</v>
      </c>
      <c r="Q20" s="49"/>
      <c r="S20" s="1"/>
    </row>
    <row r="21" spans="2:20" ht="15.8" x14ac:dyDescent="0.25">
      <c r="B21" s="15" t="s">
        <v>50</v>
      </c>
      <c r="C21" s="15" t="s">
        <v>57</v>
      </c>
      <c r="D21" s="15"/>
      <c r="E21" s="15" t="s">
        <v>223</v>
      </c>
      <c r="F21" s="44" t="s">
        <v>161</v>
      </c>
      <c r="G21" s="50" t="s">
        <v>147</v>
      </c>
      <c r="H21" s="51"/>
      <c r="I21" s="15"/>
      <c r="J21" s="45" t="s">
        <v>194</v>
      </c>
      <c r="K21" s="46">
        <v>8</v>
      </c>
      <c r="L21" s="16" t="s">
        <v>34</v>
      </c>
      <c r="M21" s="47">
        <v>27627</v>
      </c>
      <c r="N21" s="48">
        <v>45909</v>
      </c>
      <c r="O21" s="48" cm="1">
        <f t="array" ref="O21" xml:space="preserve"> IF(AND($L21 &lt;&gt; "", $L21 &lt;&gt; "Removed"), N21 + _xlfn.IFS(_xlfn.TEXTAFTER(L21," ",1) = "Days", _xlfn.NUMBERVALUE(_xlfn.TEXTBEFORE(L21," ",1)), L21="18 Months", 547, _xlfn.TEXTAFTER(L21," ",1) = "Years", _xlfn.NUMBERVALUE(_xlfn.TEXTBEFORE(L21," ",1))*365), "")</f>
        <v>46456</v>
      </c>
      <c r="P21" s="49"/>
      <c r="Q21" s="49"/>
      <c r="S21" s="1"/>
    </row>
    <row r="22" spans="2:20" ht="15.8" x14ac:dyDescent="0.25">
      <c r="B22" s="1"/>
      <c r="C22" s="1"/>
      <c r="D22" s="1"/>
      <c r="E22" s="1" t="s">
        <v>27</v>
      </c>
      <c r="F22" s="69"/>
      <c r="G22" s="70"/>
      <c r="H22" s="14"/>
      <c r="I22" s="1"/>
      <c r="J22" s="71"/>
      <c r="K22" s="72"/>
      <c r="L22" s="14" t="s">
        <v>27</v>
      </c>
      <c r="M22" s="14"/>
      <c r="N22" s="73"/>
      <c r="O22" s="48" t="str" cm="1">
        <f t="array" ref="O22" xml:space="preserve"> IF(AND($L22 &lt;&gt; "", $L22 &lt;&gt; "Removed"), N22 + _xlfn.IFS(_xlfn.TEXTAFTER(L22," ",1) = "Days", _xlfn.NUMBERVALUE(_xlfn.TEXTBEFORE(L22," ",1)), L22="18 Months", 547, _xlfn.TEXTAFTER(L22," ",1) = "Years", _xlfn.NUMBERVALUE(_xlfn.TEXTBEFORE(L22," ",1))*365), "")</f>
        <v/>
      </c>
      <c r="P22" s="74"/>
      <c r="Q22" s="68"/>
      <c r="S22" s="1"/>
    </row>
    <row r="23" spans="2:20" ht="15.8" x14ac:dyDescent="0.25">
      <c r="B23" s="15" t="s">
        <v>50</v>
      </c>
      <c r="C23" s="15" t="s">
        <v>58</v>
      </c>
      <c r="D23" s="15"/>
      <c r="E23" s="15" t="s">
        <v>142</v>
      </c>
      <c r="F23" s="44" t="s">
        <v>162</v>
      </c>
      <c r="G23" s="50" t="s">
        <v>146</v>
      </c>
      <c r="H23" s="51"/>
      <c r="I23" s="15"/>
      <c r="J23" s="45" t="s">
        <v>19</v>
      </c>
      <c r="K23" s="46">
        <v>8</v>
      </c>
      <c r="L23" s="16" t="s">
        <v>28</v>
      </c>
      <c r="M23" s="49">
        <v>28830</v>
      </c>
      <c r="N23" s="48">
        <v>46029</v>
      </c>
      <c r="O23" s="48" cm="1">
        <f t="array" ref="O23" xml:space="preserve"> IF(AND($L23 &lt;&gt; "", $L23 &lt;&gt; "Removed"), N23 + _xlfn.IFS(_xlfn.TEXTAFTER(L23," ",1) = "Days", _xlfn.NUMBERVALUE(_xlfn.TEXTBEFORE(L23," ",1)), L23="18 Months", 547, _xlfn.TEXTAFTER(L23," ",1) = "Years", _xlfn.NUMBERVALUE(_xlfn.TEXTBEFORE(L23," ",1))*365), "")</f>
        <v>46119</v>
      </c>
      <c r="P23" s="49">
        <v>28830</v>
      </c>
      <c r="Q23" s="49"/>
    </row>
    <row r="24" spans="2:20" ht="15.8" x14ac:dyDescent="0.25">
      <c r="B24" s="15" t="s">
        <v>50</v>
      </c>
      <c r="C24" s="15" t="s">
        <v>58</v>
      </c>
      <c r="D24" s="15"/>
      <c r="E24" s="15" t="s">
        <v>223</v>
      </c>
      <c r="F24" s="22" t="s">
        <v>162</v>
      </c>
      <c r="G24" s="26" t="s">
        <v>147</v>
      </c>
      <c r="H24" s="15"/>
      <c r="I24" s="15"/>
      <c r="J24" s="16" t="s">
        <v>194</v>
      </c>
      <c r="K24" s="16">
        <v>8</v>
      </c>
      <c r="L24" s="16" t="s">
        <v>34</v>
      </c>
      <c r="M24" s="16">
        <v>27627</v>
      </c>
      <c r="N24" s="27">
        <v>45909</v>
      </c>
      <c r="O24" s="48" cm="1">
        <f t="array" ref="O24" xml:space="preserve"> IF(AND($L24 &lt;&gt; "", $L24 &lt;&gt; "Removed"), N24 + _xlfn.IFS(_xlfn.TEXTAFTER(L24," ",1) = "Days", _xlfn.NUMBERVALUE(_xlfn.TEXTBEFORE(L24," ",1)), L24="18 Months", 547, _xlfn.TEXTAFTER(L24," ",1) = "Years", _xlfn.NUMBERVALUE(_xlfn.TEXTBEFORE(L24," ",1))*365), "")</f>
        <v>46456</v>
      </c>
      <c r="P24" s="49"/>
      <c r="Q24" s="15"/>
    </row>
    <row r="25" spans="2:20" ht="15.8" x14ac:dyDescent="0.25">
      <c r="B25" s="15"/>
      <c r="C25" s="15"/>
      <c r="D25" s="15"/>
      <c r="E25" s="15" t="s">
        <v>27</v>
      </c>
      <c r="F25" s="44"/>
      <c r="G25" s="44"/>
      <c r="H25" s="45"/>
      <c r="I25" s="15"/>
      <c r="J25" s="45"/>
      <c r="K25" s="46"/>
      <c r="L25" s="16" t="s">
        <v>27</v>
      </c>
      <c r="M25" s="47"/>
      <c r="N25" s="48"/>
      <c r="O25" s="48" t="str" cm="1">
        <f t="array" ref="O25" xml:space="preserve"> IF(AND($L25 &lt;&gt; "", $L25 &lt;&gt; "Removed"), N25 + _xlfn.IFS(_xlfn.TEXTAFTER(L25," ",1) = "Days", _xlfn.NUMBERVALUE(_xlfn.TEXTBEFORE(L25," ",1)), L25="18 Months", 547, _xlfn.TEXTAFTER(L25," ",1) = "Years", _xlfn.NUMBERVALUE(_xlfn.TEXTBEFORE(L25," ",1))*365), "")</f>
        <v/>
      </c>
      <c r="P25" s="49"/>
      <c r="Q25" s="49"/>
    </row>
    <row r="26" spans="2:20" ht="15.8" x14ac:dyDescent="0.25">
      <c r="B26" s="15" t="s">
        <v>50</v>
      </c>
      <c r="C26" s="15" t="s">
        <v>59</v>
      </c>
      <c r="D26" s="15"/>
      <c r="E26" s="15" t="s">
        <v>142</v>
      </c>
      <c r="F26" s="44" t="s">
        <v>163</v>
      </c>
      <c r="G26" s="44" t="s">
        <v>146</v>
      </c>
      <c r="H26" s="45"/>
      <c r="I26" s="15"/>
      <c r="J26" s="45" t="s">
        <v>19</v>
      </c>
      <c r="K26" s="46">
        <v>8</v>
      </c>
      <c r="L26" s="16" t="s">
        <v>28</v>
      </c>
      <c r="M26" s="49">
        <v>28830</v>
      </c>
      <c r="N26" s="48">
        <v>46029</v>
      </c>
      <c r="O26" s="48" cm="1">
        <f t="array" ref="O26" xml:space="preserve"> IF(AND($L26 &lt;&gt; "", $L26 &lt;&gt; "Removed"), N26 + _xlfn.IFS(_xlfn.TEXTAFTER(L26," ",1) = "Days", _xlfn.NUMBERVALUE(_xlfn.TEXTBEFORE(L26," ",1)), L26="18 Months", 547, _xlfn.TEXTAFTER(L26," ",1) = "Years", _xlfn.NUMBERVALUE(_xlfn.TEXTBEFORE(L26," ",1))*365), "")</f>
        <v>46119</v>
      </c>
      <c r="P26" s="49">
        <v>28830</v>
      </c>
      <c r="Q26" s="49"/>
    </row>
    <row r="27" spans="2:20" ht="15.8" x14ac:dyDescent="0.25">
      <c r="B27" s="15"/>
      <c r="C27" s="15"/>
      <c r="D27" s="15"/>
      <c r="E27" s="15" t="s">
        <v>27</v>
      </c>
      <c r="F27" s="44"/>
      <c r="G27" s="44"/>
      <c r="H27" s="45"/>
      <c r="I27" s="15"/>
      <c r="J27" s="45"/>
      <c r="K27" s="46"/>
      <c r="L27" s="16" t="s">
        <v>27</v>
      </c>
      <c r="M27" s="47"/>
      <c r="N27" s="48"/>
      <c r="O27" s="48" t="str" cm="1">
        <f t="array" ref="O27" xml:space="preserve"> IF(AND($L27 &lt;&gt; "", $L27 &lt;&gt; "Removed"), N27 + _xlfn.IFS(_xlfn.TEXTAFTER(L27," ",1) = "Days", _xlfn.NUMBERVALUE(_xlfn.TEXTBEFORE(L27," ",1)), L27="18 Months", 547, _xlfn.TEXTAFTER(L27," ",1) = "Years", _xlfn.NUMBERVALUE(_xlfn.TEXTBEFORE(L27," ",1))*365), "")</f>
        <v/>
      </c>
      <c r="P27" s="49"/>
      <c r="Q27" s="49"/>
    </row>
    <row r="28" spans="2:20" ht="15.8" x14ac:dyDescent="0.25">
      <c r="B28" s="15" t="s">
        <v>50</v>
      </c>
      <c r="C28" s="15" t="s">
        <v>60</v>
      </c>
      <c r="D28" s="15"/>
      <c r="E28" s="15" t="s">
        <v>142</v>
      </c>
      <c r="F28" s="44" t="s">
        <v>164</v>
      </c>
      <c r="G28" s="50" t="s">
        <v>146</v>
      </c>
      <c r="H28" s="51"/>
      <c r="I28" s="15"/>
      <c r="J28" s="45" t="s">
        <v>19</v>
      </c>
      <c r="K28" s="46">
        <v>8</v>
      </c>
      <c r="L28" s="16" t="s">
        <v>28</v>
      </c>
      <c r="M28" s="49">
        <v>28830</v>
      </c>
      <c r="N28" s="48">
        <v>46029</v>
      </c>
      <c r="O28" s="48" cm="1">
        <f t="array" ref="O28" xml:space="preserve"> IF(AND($L28 &lt;&gt; "", $L28 &lt;&gt; "Removed"), N28 + _xlfn.IFS(_xlfn.TEXTAFTER(L28," ",1) = "Days", _xlfn.NUMBERVALUE(_xlfn.TEXTBEFORE(L28," ",1)), L28="18 Months", 547, _xlfn.TEXTAFTER(L28," ",1) = "Years", _xlfn.NUMBERVALUE(_xlfn.TEXTBEFORE(L28," ",1))*365), "")</f>
        <v>46119</v>
      </c>
      <c r="P28" s="49">
        <v>28830</v>
      </c>
      <c r="Q28" s="49"/>
    </row>
    <row r="29" spans="2:20" ht="15.8" x14ac:dyDescent="0.25">
      <c r="B29" s="15"/>
      <c r="C29" s="15"/>
      <c r="D29" s="15"/>
      <c r="E29" s="15" t="s">
        <v>27</v>
      </c>
      <c r="F29" s="44"/>
      <c r="G29" s="50"/>
      <c r="H29" s="51"/>
      <c r="I29" s="15"/>
      <c r="J29" s="45"/>
      <c r="K29" s="46"/>
      <c r="L29" s="16" t="s">
        <v>27</v>
      </c>
      <c r="M29" s="47"/>
      <c r="N29" s="48"/>
      <c r="O29" s="48" t="str" cm="1">
        <f t="array" ref="O29" xml:space="preserve"> IF(AND($L29 &lt;&gt; "", $L29 &lt;&gt; "Removed"), N29 + _xlfn.IFS(_xlfn.TEXTAFTER(L29," ",1) = "Days", _xlfn.NUMBERVALUE(_xlfn.TEXTBEFORE(L29," ",1)), L29="18 Months", 547, _xlfn.TEXTAFTER(L29," ",1) = "Years", _xlfn.NUMBERVALUE(_xlfn.TEXTBEFORE(L29," ",1))*365), "")</f>
        <v/>
      </c>
      <c r="P29" s="49"/>
      <c r="Q29" s="49"/>
    </row>
    <row r="30" spans="2:20" ht="15.8" x14ac:dyDescent="0.25">
      <c r="B30" s="15" t="s">
        <v>50</v>
      </c>
      <c r="C30" s="15" t="s">
        <v>61</v>
      </c>
      <c r="D30" s="15"/>
      <c r="E30" s="15" t="s">
        <v>142</v>
      </c>
      <c r="F30" s="44" t="s">
        <v>165</v>
      </c>
      <c r="G30" s="50" t="s">
        <v>146</v>
      </c>
      <c r="H30" s="51"/>
      <c r="I30" s="15"/>
      <c r="J30" s="45" t="s">
        <v>19</v>
      </c>
      <c r="K30" s="46">
        <v>8</v>
      </c>
      <c r="L30" s="16" t="s">
        <v>28</v>
      </c>
      <c r="M30" s="49">
        <v>28830</v>
      </c>
      <c r="N30" s="48">
        <v>46029</v>
      </c>
      <c r="O30" s="48" cm="1">
        <f t="array" ref="O30" xml:space="preserve"> IF(AND($L30 &lt;&gt; "", $L30 &lt;&gt; "Removed"), N30 + _xlfn.IFS(_xlfn.TEXTAFTER(L30," ",1) = "Days", _xlfn.NUMBERVALUE(_xlfn.TEXTBEFORE(L30," ",1)), L30="18 Months", 547, _xlfn.TEXTAFTER(L30," ",1) = "Years", _xlfn.NUMBERVALUE(_xlfn.TEXTBEFORE(L30," ",1))*365), "")</f>
        <v>46119</v>
      </c>
      <c r="P30" s="49">
        <v>28830</v>
      </c>
      <c r="Q30" s="49"/>
    </row>
    <row r="31" spans="2:20" ht="15.8" x14ac:dyDescent="0.25">
      <c r="B31" s="15"/>
      <c r="C31" s="15"/>
      <c r="D31" s="15"/>
      <c r="E31" s="15" t="s">
        <v>27</v>
      </c>
      <c r="F31" s="22"/>
      <c r="G31" s="26"/>
      <c r="H31" s="15"/>
      <c r="I31" s="15"/>
      <c r="J31" s="16"/>
      <c r="K31" s="16"/>
      <c r="L31" s="16" t="s">
        <v>27</v>
      </c>
      <c r="M31" s="16"/>
      <c r="N31" s="27"/>
      <c r="O31" s="48" t="str" cm="1">
        <f t="array" ref="O31" xml:space="preserve"> IF(AND($L31 &lt;&gt; "", $L31 &lt;&gt; "Removed"), N31 + _xlfn.IFS(_xlfn.TEXTAFTER(L31," ",1) = "Days", _xlfn.NUMBERVALUE(_xlfn.TEXTBEFORE(L31," ",1)), L31="18 Months", 547, _xlfn.TEXTAFTER(L31," ",1) = "Years", _xlfn.NUMBERVALUE(_xlfn.TEXTBEFORE(L31," ",1))*365), "")</f>
        <v/>
      </c>
      <c r="P31" s="49"/>
      <c r="Q31" s="15"/>
    </row>
    <row r="32" spans="2:20" ht="15.8" x14ac:dyDescent="0.25">
      <c r="B32" s="15" t="s">
        <v>50</v>
      </c>
      <c r="C32" s="15" t="s">
        <v>62</v>
      </c>
      <c r="D32" s="15"/>
      <c r="E32" s="15" t="s">
        <v>142</v>
      </c>
      <c r="F32" s="44" t="s">
        <v>166</v>
      </c>
      <c r="G32" s="44" t="s">
        <v>146</v>
      </c>
      <c r="H32" s="45"/>
      <c r="I32" s="15"/>
      <c r="J32" s="45" t="s">
        <v>19</v>
      </c>
      <c r="K32" s="46">
        <v>8</v>
      </c>
      <c r="L32" s="16" t="s">
        <v>28</v>
      </c>
      <c r="M32" s="49">
        <v>28830</v>
      </c>
      <c r="N32" s="48">
        <v>46029</v>
      </c>
      <c r="O32" s="48" cm="1">
        <f t="array" ref="O32" xml:space="preserve"> IF(AND($L32 &lt;&gt; "", $L32 &lt;&gt; "Removed"), N32 + _xlfn.IFS(_xlfn.TEXTAFTER(L32," ",1) = "Days", _xlfn.NUMBERVALUE(_xlfn.TEXTBEFORE(L32," ",1)), L32="18 Months", 547, _xlfn.TEXTAFTER(L32," ",1) = "Years", _xlfn.NUMBERVALUE(_xlfn.TEXTBEFORE(L32," ",1))*365), "")</f>
        <v>46119</v>
      </c>
      <c r="P32" s="49">
        <v>28830</v>
      </c>
      <c r="Q32" s="49"/>
    </row>
    <row r="33" spans="2:17" ht="15.8" x14ac:dyDescent="0.25">
      <c r="B33" s="15"/>
      <c r="C33" s="15"/>
      <c r="D33" s="15"/>
      <c r="E33" s="15" t="s">
        <v>27</v>
      </c>
      <c r="F33" s="44"/>
      <c r="G33" s="44"/>
      <c r="H33" s="45"/>
      <c r="I33" s="15"/>
      <c r="J33" s="45"/>
      <c r="K33" s="46"/>
      <c r="L33" s="16" t="s">
        <v>27</v>
      </c>
      <c r="M33" s="47"/>
      <c r="N33" s="48"/>
      <c r="O33" s="48" t="str" cm="1">
        <f t="array" ref="O33" xml:space="preserve"> IF(AND($L33 &lt;&gt; "", $L33 &lt;&gt; "Removed"), N33 + _xlfn.IFS(_xlfn.TEXTAFTER(L33," ",1) = "Days", _xlfn.NUMBERVALUE(_xlfn.TEXTBEFORE(L33," ",1)), L33="18 Months", 547, _xlfn.TEXTAFTER(L33," ",1) = "Years", _xlfn.NUMBERVALUE(_xlfn.TEXTBEFORE(L33," ",1))*365), "")</f>
        <v/>
      </c>
      <c r="P33" s="49"/>
      <c r="Q33" s="49"/>
    </row>
    <row r="34" spans="2:17" ht="15.8" x14ac:dyDescent="0.25">
      <c r="B34" s="15" t="s">
        <v>50</v>
      </c>
      <c r="C34" s="15" t="s">
        <v>63</v>
      </c>
      <c r="D34" s="15"/>
      <c r="E34" s="15" t="s">
        <v>142</v>
      </c>
      <c r="F34" s="44" t="s">
        <v>167</v>
      </c>
      <c r="G34" s="50" t="s">
        <v>146</v>
      </c>
      <c r="H34" s="51"/>
      <c r="I34" s="15"/>
      <c r="J34" s="45" t="s">
        <v>19</v>
      </c>
      <c r="K34" s="46">
        <v>8</v>
      </c>
      <c r="L34" s="16" t="s">
        <v>28</v>
      </c>
      <c r="M34" s="49">
        <v>28830</v>
      </c>
      <c r="N34" s="48">
        <v>46029</v>
      </c>
      <c r="O34" s="48" cm="1">
        <f t="array" ref="O34" xml:space="preserve"> IF(AND($L34 &lt;&gt; "", $L34 &lt;&gt; "Removed"), N34 + _xlfn.IFS(_xlfn.TEXTAFTER(L34," ",1) = "Days", _xlfn.NUMBERVALUE(_xlfn.TEXTBEFORE(L34," ",1)), L34="18 Months", 547, _xlfn.TEXTAFTER(L34," ",1) = "Years", _xlfn.NUMBERVALUE(_xlfn.TEXTBEFORE(L34," ",1))*365), "")</f>
        <v>46119</v>
      </c>
      <c r="P34" s="49">
        <v>28830</v>
      </c>
      <c r="Q34" s="49"/>
    </row>
    <row r="35" spans="2:17" ht="15.8" x14ac:dyDescent="0.25">
      <c r="B35" s="15"/>
      <c r="C35" s="15"/>
      <c r="D35" s="15"/>
      <c r="E35" s="15" t="s">
        <v>27</v>
      </c>
      <c r="F35" s="44"/>
      <c r="G35" s="50"/>
      <c r="H35" s="51"/>
      <c r="I35" s="15"/>
      <c r="J35" s="45"/>
      <c r="K35" s="46"/>
      <c r="L35" s="16" t="s">
        <v>27</v>
      </c>
      <c r="M35" s="47"/>
      <c r="N35" s="48"/>
      <c r="O35" s="48" t="str" cm="1">
        <f t="array" ref="O35" xml:space="preserve"> IF(AND($L35 &lt;&gt; "", $L35 &lt;&gt; "Removed"), N35 + _xlfn.IFS(_xlfn.TEXTAFTER(L35," ",1) = "Days", _xlfn.NUMBERVALUE(_xlfn.TEXTBEFORE(L35," ",1)), L35="18 Months", 547, _xlfn.TEXTAFTER(L35," ",1) = "Years", _xlfn.NUMBERVALUE(_xlfn.TEXTBEFORE(L35," ",1))*365), "")</f>
        <v/>
      </c>
      <c r="P35" s="49"/>
      <c r="Q35" s="49"/>
    </row>
    <row r="36" spans="2:17" ht="15.8" x14ac:dyDescent="0.25">
      <c r="B36" s="15" t="s">
        <v>50</v>
      </c>
      <c r="C36" s="15" t="s">
        <v>64</v>
      </c>
      <c r="D36" s="15"/>
      <c r="E36" s="15" t="s">
        <v>142</v>
      </c>
      <c r="F36" s="22" t="s">
        <v>168</v>
      </c>
      <c r="G36" s="26" t="s">
        <v>146</v>
      </c>
      <c r="H36" s="15"/>
      <c r="I36" s="15"/>
      <c r="J36" s="16" t="s">
        <v>19</v>
      </c>
      <c r="K36" s="16">
        <v>8</v>
      </c>
      <c r="L36" s="16" t="s">
        <v>28</v>
      </c>
      <c r="M36" s="49">
        <v>28830</v>
      </c>
      <c r="N36" s="48">
        <v>46029</v>
      </c>
      <c r="O36" s="48" cm="1">
        <f t="array" ref="O36" xml:space="preserve"> IF(AND($L36 &lt;&gt; "", $L36 &lt;&gt; "Removed"), N36 + _xlfn.IFS(_xlfn.TEXTAFTER(L36," ",1) = "Days", _xlfn.NUMBERVALUE(_xlfn.TEXTBEFORE(L36," ",1)), L36="18 Months", 547, _xlfn.TEXTAFTER(L36," ",1) = "Years", _xlfn.NUMBERVALUE(_xlfn.TEXTBEFORE(L36," ",1))*365), "")</f>
        <v>46119</v>
      </c>
      <c r="P36" s="49">
        <v>28830</v>
      </c>
      <c r="Q36" s="15"/>
    </row>
    <row r="37" spans="2:17" ht="15.8" x14ac:dyDescent="0.25">
      <c r="B37" s="15"/>
      <c r="C37" s="15"/>
      <c r="D37" s="15"/>
      <c r="E37" s="15" t="s">
        <v>27</v>
      </c>
      <c r="F37" s="44"/>
      <c r="G37" s="44"/>
      <c r="H37" s="45"/>
      <c r="I37" s="15"/>
      <c r="J37" s="45"/>
      <c r="K37" s="46"/>
      <c r="L37" s="16" t="s">
        <v>27</v>
      </c>
      <c r="M37" s="47"/>
      <c r="N37" s="48"/>
      <c r="O37" s="48" t="str" cm="1">
        <f t="array" ref="O37" xml:space="preserve"> IF(AND($L37 &lt;&gt; "", $L37 &lt;&gt; "Removed"), N37 + _xlfn.IFS(_xlfn.TEXTAFTER(L37," ",1) = "Days", _xlfn.NUMBERVALUE(_xlfn.TEXTBEFORE(L37," ",1)), L37="18 Months", 547, _xlfn.TEXTAFTER(L37," ",1) = "Years", _xlfn.NUMBERVALUE(_xlfn.TEXTBEFORE(L37," ",1))*365), "")</f>
        <v/>
      </c>
      <c r="P37" s="49"/>
      <c r="Q37" s="49"/>
    </row>
    <row r="38" spans="2:17" ht="16.3" x14ac:dyDescent="0.3">
      <c r="B38" s="15" t="s">
        <v>50</v>
      </c>
      <c r="C38" s="15" t="s">
        <v>65</v>
      </c>
      <c r="D38" s="15"/>
      <c r="E38" s="15" t="s">
        <v>142</v>
      </c>
      <c r="F38" s="44" t="s">
        <v>169</v>
      </c>
      <c r="G38" s="44" t="s">
        <v>145</v>
      </c>
      <c r="H38" s="45"/>
      <c r="I38" s="15"/>
      <c r="J38" s="45" t="s">
        <v>195</v>
      </c>
      <c r="K38" s="46">
        <v>8</v>
      </c>
      <c r="L38" s="16" t="s">
        <v>28</v>
      </c>
      <c r="M38" s="49">
        <v>28830</v>
      </c>
      <c r="N38" s="48">
        <v>46029</v>
      </c>
      <c r="O38" s="48" cm="1">
        <f t="array" ref="O38" xml:space="preserve"> IF(AND($L38 &lt;&gt; "", $L38 &lt;&gt; "Removed"), N38 + _xlfn.IFS(_xlfn.TEXTAFTER(L38," ",1) = "Days", _xlfn.NUMBERVALUE(_xlfn.TEXTBEFORE(L38," ",1)), L38="18 Months", 547, _xlfn.TEXTAFTER(L38," ",1) = "Years", _xlfn.NUMBERVALUE(_xlfn.TEXTBEFORE(L38," ",1))*365), "")</f>
        <v>46119</v>
      </c>
      <c r="P38" s="49">
        <v>28830</v>
      </c>
      <c r="Q38" s="49"/>
    </row>
    <row r="39" spans="2:17" ht="16.3" customHeight="1" x14ac:dyDescent="0.3">
      <c r="B39" s="15" t="s">
        <v>50</v>
      </c>
      <c r="C39" s="15" t="s">
        <v>65</v>
      </c>
      <c r="D39" s="15"/>
      <c r="E39" s="15" t="s">
        <v>223</v>
      </c>
      <c r="F39" s="44" t="s">
        <v>169</v>
      </c>
      <c r="G39" s="44" t="s">
        <v>148</v>
      </c>
      <c r="H39" s="45"/>
      <c r="I39" s="15"/>
      <c r="J39" s="45" t="s">
        <v>194</v>
      </c>
      <c r="K39" s="46">
        <v>8</v>
      </c>
      <c r="L39" s="16" t="s">
        <v>34</v>
      </c>
      <c r="M39" s="47">
        <v>27627</v>
      </c>
      <c r="N39" s="48">
        <v>45909</v>
      </c>
      <c r="O39" s="48" cm="1">
        <f t="array" ref="O39" xml:space="preserve"> IF(AND($L39 &lt;&gt; "", $L39 &lt;&gt; "Removed"), N39 + _xlfn.IFS(_xlfn.TEXTAFTER(L39," ",1) = "Days", _xlfn.NUMBERVALUE(_xlfn.TEXTBEFORE(L39," ",1)), L39="18 Months", 547, _xlfn.TEXTAFTER(L39," ",1) = "Years", _xlfn.NUMBERVALUE(_xlfn.TEXTBEFORE(L39," ",1))*365), "")</f>
        <v>46456</v>
      </c>
      <c r="P39" s="49"/>
      <c r="Q39" s="49"/>
    </row>
    <row r="40" spans="2:17" ht="16.3" x14ac:dyDescent="0.3">
      <c r="B40" s="15"/>
      <c r="C40" s="15"/>
      <c r="D40" s="15"/>
      <c r="E40" s="15" t="s">
        <v>27</v>
      </c>
      <c r="F40" s="44"/>
      <c r="G40" s="50"/>
      <c r="H40" s="51"/>
      <c r="I40" s="15"/>
      <c r="J40" s="45"/>
      <c r="K40" s="46"/>
      <c r="L40" s="16" t="s">
        <v>27</v>
      </c>
      <c r="M40" s="47"/>
      <c r="N40" s="48"/>
      <c r="O40" s="48" t="str" cm="1">
        <f t="array" ref="O40" xml:space="preserve"> IF(AND($L40 &lt;&gt; "", $L40 &lt;&gt; "Removed"), N40 + _xlfn.IFS(_xlfn.TEXTAFTER(L40," ",1) = "Days", _xlfn.NUMBERVALUE(_xlfn.TEXTBEFORE(L40," ",1)), L40="18 Months", 547, _xlfn.TEXTAFTER(L40," ",1) = "Years", _xlfn.NUMBERVALUE(_xlfn.TEXTBEFORE(L40," ",1))*365), "")</f>
        <v/>
      </c>
      <c r="P40" s="49"/>
      <c r="Q40" s="49"/>
    </row>
    <row r="41" spans="2:17" ht="16.3" x14ac:dyDescent="0.3">
      <c r="B41" s="15" t="s">
        <v>50</v>
      </c>
      <c r="C41" s="15" t="s">
        <v>66</v>
      </c>
      <c r="D41" s="15"/>
      <c r="E41" s="15" t="s">
        <v>142</v>
      </c>
      <c r="F41" s="44" t="s">
        <v>170</v>
      </c>
      <c r="G41" s="50" t="s">
        <v>146</v>
      </c>
      <c r="H41" s="51"/>
      <c r="I41" s="15"/>
      <c r="J41" s="45" t="s">
        <v>19</v>
      </c>
      <c r="K41" s="46">
        <v>20</v>
      </c>
      <c r="L41" s="16" t="s">
        <v>28</v>
      </c>
      <c r="M41" s="49">
        <v>28830</v>
      </c>
      <c r="N41" s="48">
        <v>46029</v>
      </c>
      <c r="O41" s="48" cm="1">
        <f t="array" ref="O41" xml:space="preserve"> IF(AND($L41 &lt;&gt; "", $L41 &lt;&gt; "Removed"), N41 + _xlfn.IFS(_xlfn.TEXTAFTER(L41," ",1) = "Days", _xlfn.NUMBERVALUE(_xlfn.TEXTBEFORE(L41," ",1)), L41="18 Months", 547, _xlfn.TEXTAFTER(L41," ",1) = "Years", _xlfn.NUMBERVALUE(_xlfn.TEXTBEFORE(L41," ",1))*365), "")</f>
        <v>46119</v>
      </c>
      <c r="P41" s="49">
        <v>28830</v>
      </c>
      <c r="Q41" s="49"/>
    </row>
    <row r="42" spans="2:17" ht="16.3" x14ac:dyDescent="0.3">
      <c r="B42" s="15"/>
      <c r="C42" s="15"/>
      <c r="D42" s="15"/>
      <c r="E42" s="15" t="s">
        <v>27</v>
      </c>
      <c r="F42" s="44"/>
      <c r="G42" s="50"/>
      <c r="H42" s="51"/>
      <c r="I42" s="15"/>
      <c r="J42" s="45"/>
      <c r="K42" s="46"/>
      <c r="L42" s="16" t="s">
        <v>27</v>
      </c>
      <c r="M42" s="47"/>
      <c r="N42" s="48"/>
      <c r="O42" s="48" t="str" cm="1">
        <f t="array" ref="O42" xml:space="preserve"> IF(AND($L42 &lt;&gt; "", $L42 &lt;&gt; "Removed"), N42 + _xlfn.IFS(_xlfn.TEXTAFTER(L42," ",1) = "Days", _xlfn.NUMBERVALUE(_xlfn.TEXTBEFORE(L42," ",1)), L42="18 Months", 547, _xlfn.TEXTAFTER(L42," ",1) = "Years", _xlfn.NUMBERVALUE(_xlfn.TEXTBEFORE(L42," ",1))*365), "")</f>
        <v/>
      </c>
      <c r="P42" s="49"/>
      <c r="Q42" s="49"/>
    </row>
    <row r="43" spans="2:17" ht="16.3" x14ac:dyDescent="0.3">
      <c r="B43" s="15" t="s">
        <v>50</v>
      </c>
      <c r="C43" s="15" t="s">
        <v>67</v>
      </c>
      <c r="D43" s="15"/>
      <c r="E43" s="15" t="s">
        <v>142</v>
      </c>
      <c r="F43" s="22" t="s">
        <v>159</v>
      </c>
      <c r="G43" s="26" t="s">
        <v>144</v>
      </c>
      <c r="H43" s="15"/>
      <c r="I43" s="15"/>
      <c r="J43" s="16" t="s">
        <v>192</v>
      </c>
      <c r="K43" s="16">
        <v>4</v>
      </c>
      <c r="L43" s="16" t="s">
        <v>28</v>
      </c>
      <c r="M43" s="49">
        <v>28830</v>
      </c>
      <c r="N43" s="48">
        <v>46029</v>
      </c>
      <c r="O43" s="48" cm="1">
        <f t="array" ref="O43" xml:space="preserve"> IF(AND($L43 &lt;&gt; "", $L43 &lt;&gt; "Removed"), N43 + _xlfn.IFS(_xlfn.TEXTAFTER(L43," ",1) = "Days", _xlfn.NUMBERVALUE(_xlfn.TEXTBEFORE(L43," ",1)), L43="18 Months", 547, _xlfn.TEXTAFTER(L43," ",1) = "Years", _xlfn.NUMBERVALUE(_xlfn.TEXTBEFORE(L43," ",1))*365), "")</f>
        <v>46119</v>
      </c>
      <c r="P43" s="49">
        <v>28830</v>
      </c>
      <c r="Q43" s="15"/>
    </row>
    <row r="44" spans="2:17" ht="16.3" x14ac:dyDescent="0.3">
      <c r="B44" s="15" t="s">
        <v>50</v>
      </c>
      <c r="C44" s="15" t="s">
        <v>68</v>
      </c>
      <c r="D44" s="15"/>
      <c r="E44" s="15" t="s">
        <v>142</v>
      </c>
      <c r="F44" s="44"/>
      <c r="G44" s="44" t="s">
        <v>149</v>
      </c>
      <c r="H44" s="45"/>
      <c r="I44" s="15"/>
      <c r="J44" s="45" t="s">
        <v>196</v>
      </c>
      <c r="K44" s="46">
        <v>4</v>
      </c>
      <c r="L44" s="16" t="s">
        <v>28</v>
      </c>
      <c r="M44" s="49">
        <v>28830</v>
      </c>
      <c r="N44" s="48">
        <v>46029</v>
      </c>
      <c r="O44" s="48" cm="1">
        <f t="array" ref="O44" xml:space="preserve"> IF(AND($L44 &lt;&gt; "", $L44 &lt;&gt; "Removed"), N44 + _xlfn.IFS(_xlfn.TEXTAFTER(L44," ",1) = "Days", _xlfn.NUMBERVALUE(_xlfn.TEXTBEFORE(L44," ",1)), L44="18 Months", 547, _xlfn.TEXTAFTER(L44," ",1) = "Years", _xlfn.NUMBERVALUE(_xlfn.TEXTBEFORE(L44," ",1))*365), "")</f>
        <v>46119</v>
      </c>
      <c r="P44" s="49">
        <v>28830</v>
      </c>
      <c r="Q44" s="49"/>
    </row>
    <row r="45" spans="2:17" ht="16.3" x14ac:dyDescent="0.3">
      <c r="B45" s="15"/>
      <c r="C45" s="15"/>
      <c r="D45" s="15"/>
      <c r="E45" s="15" t="s">
        <v>27</v>
      </c>
      <c r="F45" s="44"/>
      <c r="G45" s="44"/>
      <c r="H45" s="45"/>
      <c r="I45" s="15"/>
      <c r="J45" s="45"/>
      <c r="K45" s="46"/>
      <c r="L45" s="16" t="s">
        <v>27</v>
      </c>
      <c r="M45" s="47"/>
      <c r="N45" s="48"/>
      <c r="O45" s="48" t="str" cm="1">
        <f t="array" ref="O45" xml:space="preserve"> IF(AND($L45 &lt;&gt; "", $L45 &lt;&gt; "Removed"), N45 + _xlfn.IFS(_xlfn.TEXTAFTER(L45," ",1) = "Days", _xlfn.NUMBERVALUE(_xlfn.TEXTBEFORE(L45," ",1)), L45="18 Months", 547, _xlfn.TEXTAFTER(L45," ",1) = "Years", _xlfn.NUMBERVALUE(_xlfn.TEXTBEFORE(L45," ",1))*365), "")</f>
        <v/>
      </c>
      <c r="P45" s="49"/>
      <c r="Q45" s="49"/>
    </row>
    <row r="46" spans="2:17" ht="16.3" x14ac:dyDescent="0.3">
      <c r="B46" s="15" t="s">
        <v>50</v>
      </c>
      <c r="C46" s="15" t="s">
        <v>69</v>
      </c>
      <c r="D46" s="15"/>
      <c r="E46" s="15" t="s">
        <v>142</v>
      </c>
      <c r="F46" s="44" t="s">
        <v>171</v>
      </c>
      <c r="G46" s="44" t="s">
        <v>146</v>
      </c>
      <c r="H46" s="45"/>
      <c r="I46" s="15"/>
      <c r="J46" s="45" t="s">
        <v>19</v>
      </c>
      <c r="K46" s="46">
        <v>6</v>
      </c>
      <c r="L46" s="16" t="s">
        <v>28</v>
      </c>
      <c r="M46" s="49">
        <v>28830</v>
      </c>
      <c r="N46" s="48">
        <v>46029</v>
      </c>
      <c r="O46" s="48" cm="1">
        <f t="array" ref="O46" xml:space="preserve"> IF(AND($L46 &lt;&gt; "", $L46 &lt;&gt; "Removed"), N46 + _xlfn.IFS(_xlfn.TEXTAFTER(L46," ",1) = "Days", _xlfn.NUMBERVALUE(_xlfn.TEXTBEFORE(L46," ",1)), L46="18 Months", 547, _xlfn.TEXTAFTER(L46," ",1) = "Years", _xlfn.NUMBERVALUE(_xlfn.TEXTBEFORE(L46," ",1))*365), "")</f>
        <v>46119</v>
      </c>
      <c r="P46" s="49">
        <v>28830</v>
      </c>
      <c r="Q46" s="49"/>
    </row>
    <row r="47" spans="2:17" ht="16.3" x14ac:dyDescent="0.3">
      <c r="B47" s="15" t="s">
        <v>50</v>
      </c>
      <c r="C47" s="15" t="s">
        <v>70</v>
      </c>
      <c r="D47" s="15"/>
      <c r="E47" s="15" t="s">
        <v>142</v>
      </c>
      <c r="F47" s="44" t="s">
        <v>172</v>
      </c>
      <c r="G47" s="50" t="s">
        <v>146</v>
      </c>
      <c r="H47" s="51"/>
      <c r="I47" s="15"/>
      <c r="J47" s="45" t="s">
        <v>197</v>
      </c>
      <c r="K47" s="46">
        <v>6</v>
      </c>
      <c r="L47" s="16" t="s">
        <v>28</v>
      </c>
      <c r="M47" s="49">
        <v>28830</v>
      </c>
      <c r="N47" s="48">
        <v>46029</v>
      </c>
      <c r="O47" s="48" cm="1">
        <f t="array" ref="O47" xml:space="preserve"> IF(AND($L47 &lt;&gt; "", $L47 &lt;&gt; "Removed"), N47 + _xlfn.IFS(_xlfn.TEXTAFTER(L47," ",1) = "Days", _xlfn.NUMBERVALUE(_xlfn.TEXTBEFORE(L47," ",1)), L47="18 Months", 547, _xlfn.TEXTAFTER(L47," ",1) = "Years", _xlfn.NUMBERVALUE(_xlfn.TEXTBEFORE(L47," ",1))*365), "")</f>
        <v>46119</v>
      </c>
      <c r="P47" s="49">
        <v>28830</v>
      </c>
      <c r="Q47" s="49"/>
    </row>
    <row r="48" spans="2:17" ht="16.3" customHeight="1" x14ac:dyDescent="0.3">
      <c r="B48" s="15" t="s">
        <v>50</v>
      </c>
      <c r="C48" s="15" t="s">
        <v>70</v>
      </c>
      <c r="D48" s="15"/>
      <c r="E48" s="15" t="s">
        <v>223</v>
      </c>
      <c r="F48" s="44" t="s">
        <v>172</v>
      </c>
      <c r="G48" s="50" t="s">
        <v>147</v>
      </c>
      <c r="H48" s="51"/>
      <c r="I48" s="15"/>
      <c r="J48" s="45" t="s">
        <v>194</v>
      </c>
      <c r="K48" s="46">
        <v>4</v>
      </c>
      <c r="L48" s="16" t="s">
        <v>34</v>
      </c>
      <c r="M48" s="47">
        <v>27627</v>
      </c>
      <c r="N48" s="48">
        <v>45909</v>
      </c>
      <c r="O48" s="48" cm="1">
        <f t="array" ref="O48" xml:space="preserve"> IF(AND($L48 &lt;&gt; "", $L48 &lt;&gt; "Removed"), N48 + _xlfn.IFS(_xlfn.TEXTAFTER(L48," ",1) = "Days", _xlfn.NUMBERVALUE(_xlfn.TEXTBEFORE(L48," ",1)), L48="18 Months", 547, _xlfn.TEXTAFTER(L48," ",1) = "Years", _xlfn.NUMBERVALUE(_xlfn.TEXTBEFORE(L48," ",1))*365), "")</f>
        <v>46456</v>
      </c>
      <c r="P48" s="49"/>
      <c r="Q48" s="49"/>
    </row>
    <row r="49" spans="2:20" ht="16.3" x14ac:dyDescent="0.3">
      <c r="B49" s="15"/>
      <c r="C49" s="15"/>
      <c r="D49" s="15"/>
      <c r="E49" s="15" t="s">
        <v>27</v>
      </c>
      <c r="F49" s="44"/>
      <c r="G49" s="50"/>
      <c r="H49" s="51"/>
      <c r="I49" s="15"/>
      <c r="J49" s="45"/>
      <c r="K49" s="46"/>
      <c r="L49" s="16" t="s">
        <v>27</v>
      </c>
      <c r="M49" s="47"/>
      <c r="N49" s="48"/>
      <c r="O49" s="48" t="str" cm="1">
        <f t="array" ref="O49" xml:space="preserve"> IF(AND($L49 &lt;&gt; "", $L49 &lt;&gt; "Removed"), N49 + _xlfn.IFS(_xlfn.TEXTAFTER(L49," ",1) = "Days", _xlfn.NUMBERVALUE(_xlfn.TEXTBEFORE(L49," ",1)), L49="18 Months", 547, _xlfn.TEXTAFTER(L49," ",1) = "Years", _xlfn.NUMBERVALUE(_xlfn.TEXTBEFORE(L49," ",1))*365), "")</f>
        <v/>
      </c>
      <c r="P49" s="49"/>
      <c r="Q49" s="49"/>
      <c r="S49" s="137" t="s">
        <v>25</v>
      </c>
      <c r="T49" s="137"/>
    </row>
    <row r="50" spans="2:20" ht="16.3" x14ac:dyDescent="0.3">
      <c r="B50" s="15" t="s">
        <v>50</v>
      </c>
      <c r="C50" s="15" t="s">
        <v>71</v>
      </c>
      <c r="D50" s="15"/>
      <c r="E50" s="15" t="s">
        <v>142</v>
      </c>
      <c r="F50" s="22" t="s">
        <v>173</v>
      </c>
      <c r="G50" s="26" t="s">
        <v>145</v>
      </c>
      <c r="H50" s="15"/>
      <c r="I50" s="15"/>
      <c r="J50" s="16" t="s">
        <v>198</v>
      </c>
      <c r="K50" s="16">
        <v>4</v>
      </c>
      <c r="L50" s="16" t="s">
        <v>28</v>
      </c>
      <c r="M50" s="49">
        <v>28830</v>
      </c>
      <c r="N50" s="48">
        <v>46029</v>
      </c>
      <c r="O50" s="48" cm="1">
        <f t="array" ref="O50" xml:space="preserve"> IF(AND($L50 &lt;&gt; "", $L50 &lt;&gt; "Removed"), N50 + _xlfn.IFS(_xlfn.TEXTAFTER(L50," ",1) = "Days", _xlfn.NUMBERVALUE(_xlfn.TEXTBEFORE(L50," ",1)), L50="18 Months", 547, _xlfn.TEXTAFTER(L50," ",1) = "Years", _xlfn.NUMBERVALUE(_xlfn.TEXTBEFORE(L50," ",1))*365), "")</f>
        <v>46119</v>
      </c>
      <c r="P50" s="49">
        <v>28830</v>
      </c>
      <c r="Q50" s="15"/>
      <c r="S50" s="137"/>
      <c r="T50" s="137"/>
    </row>
    <row r="51" spans="2:20" ht="16.3" x14ac:dyDescent="0.3">
      <c r="B51" s="15" t="s">
        <v>50</v>
      </c>
      <c r="C51" s="15" t="s">
        <v>71</v>
      </c>
      <c r="D51" s="15"/>
      <c r="E51" s="15" t="s">
        <v>142</v>
      </c>
      <c r="F51" s="44" t="s">
        <v>173</v>
      </c>
      <c r="G51" s="44" t="s">
        <v>145</v>
      </c>
      <c r="H51" s="45"/>
      <c r="I51" s="15"/>
      <c r="J51" s="45" t="s">
        <v>19</v>
      </c>
      <c r="K51" s="46">
        <v>4</v>
      </c>
      <c r="L51" s="16" t="s">
        <v>28</v>
      </c>
      <c r="M51" s="49">
        <v>28830</v>
      </c>
      <c r="N51" s="48">
        <v>46029</v>
      </c>
      <c r="O51" s="48" cm="1">
        <f t="array" ref="O51" xml:space="preserve"> IF(AND($L51 &lt;&gt; "", $L51 &lt;&gt; "Removed"), N51 + _xlfn.IFS(_xlfn.TEXTAFTER(L51," ",1) = "Days", _xlfn.NUMBERVALUE(_xlfn.TEXTBEFORE(L51," ",1)), L51="18 Months", 547, _xlfn.TEXTAFTER(L51," ",1) = "Years", _xlfn.NUMBERVALUE(_xlfn.TEXTBEFORE(L51," ",1))*365), "")</f>
        <v>46119</v>
      </c>
      <c r="P51" s="49">
        <v>28830</v>
      </c>
      <c r="Q51" s="49"/>
      <c r="S51" s="10" t="s">
        <v>22</v>
      </c>
      <c r="T51" s="52" t="s">
        <v>44</v>
      </c>
    </row>
    <row r="52" spans="2:20" ht="16.3" x14ac:dyDescent="0.3">
      <c r="B52" s="15" t="s">
        <v>50</v>
      </c>
      <c r="C52" s="15" t="s">
        <v>71</v>
      </c>
      <c r="D52" s="15"/>
      <c r="E52" s="15" t="s">
        <v>142</v>
      </c>
      <c r="F52" s="44" t="s">
        <v>173</v>
      </c>
      <c r="G52" s="44" t="s">
        <v>145</v>
      </c>
      <c r="H52" s="45"/>
      <c r="I52" s="15"/>
      <c r="J52" s="45" t="s">
        <v>18</v>
      </c>
      <c r="K52" s="46">
        <v>2</v>
      </c>
      <c r="L52" s="16" t="s">
        <v>28</v>
      </c>
      <c r="M52" s="49">
        <v>28830</v>
      </c>
      <c r="N52" s="48">
        <v>46029</v>
      </c>
      <c r="O52" s="48" cm="1">
        <f t="array" ref="O52" xml:space="preserve"> IF(AND($L52 &lt;&gt; "", $L52 &lt;&gt; "Removed"), N52 + _xlfn.IFS(_xlfn.TEXTAFTER(L52," ",1) = "Days", _xlfn.NUMBERVALUE(_xlfn.TEXTBEFORE(L52," ",1)), L52="18 Months", 547, _xlfn.TEXTAFTER(L52," ",1) = "Years", _xlfn.NUMBERVALUE(_xlfn.TEXTBEFORE(L52," ",1))*365), "")</f>
        <v>46119</v>
      </c>
      <c r="P52" s="49">
        <v>28830</v>
      </c>
      <c r="Q52" s="49"/>
      <c r="S52" s="13" t="s">
        <v>35</v>
      </c>
      <c r="T52" s="53" t="s">
        <v>46</v>
      </c>
    </row>
    <row r="53" spans="2:20" ht="16.3" x14ac:dyDescent="0.3">
      <c r="B53" s="15" t="s">
        <v>50</v>
      </c>
      <c r="C53" s="15" t="s">
        <v>71</v>
      </c>
      <c r="D53" s="15"/>
      <c r="E53" s="15" t="s">
        <v>142</v>
      </c>
      <c r="F53" s="44" t="s">
        <v>173</v>
      </c>
      <c r="G53" s="44" t="s">
        <v>145</v>
      </c>
      <c r="H53" s="45"/>
      <c r="I53" s="15"/>
      <c r="J53" s="45" t="s">
        <v>197</v>
      </c>
      <c r="K53" s="46">
        <v>2</v>
      </c>
      <c r="L53" s="16" t="s">
        <v>28</v>
      </c>
      <c r="M53" s="49">
        <v>28830</v>
      </c>
      <c r="N53" s="48">
        <v>46029</v>
      </c>
      <c r="O53" s="48" cm="1">
        <f t="array" ref="O53" xml:space="preserve"> IF(AND($L53 &lt;&gt; "", $L53 &lt;&gt; "Removed"), N53 + _xlfn.IFS(_xlfn.TEXTAFTER(L53," ",1) = "Days", _xlfn.NUMBERVALUE(_xlfn.TEXTBEFORE(L53," ",1)), L53="18 Months", 547, _xlfn.TEXTAFTER(L53," ",1) = "Years", _xlfn.NUMBERVALUE(_xlfn.TEXTBEFORE(L53," ",1))*365), "")</f>
        <v>46119</v>
      </c>
      <c r="P53" s="49">
        <v>28830</v>
      </c>
      <c r="Q53" s="49"/>
      <c r="S53" s="6" t="s">
        <v>28</v>
      </c>
      <c r="T53" s="54" t="s">
        <v>42</v>
      </c>
    </row>
    <row r="54" spans="2:20" ht="14.3" customHeight="1" x14ac:dyDescent="0.3">
      <c r="B54" s="15" t="s">
        <v>50</v>
      </c>
      <c r="C54" s="15" t="s">
        <v>71</v>
      </c>
      <c r="D54" s="15"/>
      <c r="E54" s="15" t="s">
        <v>223</v>
      </c>
      <c r="F54" s="44" t="s">
        <v>173</v>
      </c>
      <c r="G54" s="50" t="s">
        <v>148</v>
      </c>
      <c r="H54" s="51"/>
      <c r="I54" s="15"/>
      <c r="J54" s="45" t="s">
        <v>13</v>
      </c>
      <c r="K54" s="46">
        <v>6</v>
      </c>
      <c r="L54" s="16" t="s">
        <v>34</v>
      </c>
      <c r="M54" s="47">
        <v>27627</v>
      </c>
      <c r="N54" s="48">
        <v>45909</v>
      </c>
      <c r="O54" s="48" cm="1">
        <f t="array" ref="O54" xml:space="preserve"> IF(AND($L54 &lt;&gt; "", $L54 &lt;&gt; "Removed"), N54 + _xlfn.IFS(_xlfn.TEXTAFTER(L54," ",1) = "Days", _xlfn.NUMBERVALUE(_xlfn.TEXTBEFORE(L54," ",1)), L54="18 Months", 547, _xlfn.TEXTAFTER(L54," ",1) = "Years", _xlfn.NUMBERVALUE(_xlfn.TEXTBEFORE(L54," ",1))*365), "")</f>
        <v>46456</v>
      </c>
      <c r="P54" s="49"/>
      <c r="Q54" s="49"/>
      <c r="S54" s="11" t="s">
        <v>36</v>
      </c>
      <c r="T54" s="55" t="s">
        <v>45</v>
      </c>
    </row>
    <row r="55" spans="2:20" ht="16.3" x14ac:dyDescent="0.3">
      <c r="B55" s="15"/>
      <c r="C55" s="15"/>
      <c r="D55" s="15"/>
      <c r="E55" s="15" t="s">
        <v>27</v>
      </c>
      <c r="F55" s="44"/>
      <c r="G55" s="50"/>
      <c r="H55" s="51"/>
      <c r="I55" s="15"/>
      <c r="J55" s="45"/>
      <c r="K55" s="46"/>
      <c r="L55" s="16" t="s">
        <v>27</v>
      </c>
      <c r="M55" s="47"/>
      <c r="N55" s="48"/>
      <c r="O55" s="48" t="str" cm="1">
        <f t="array" ref="O55" xml:space="preserve"> IF(AND($L55 &lt;&gt; "", $L55 &lt;&gt; "Removed"), N55 + _xlfn.IFS(_xlfn.TEXTAFTER(L55," ",1) = "Days", _xlfn.NUMBERVALUE(_xlfn.TEXTBEFORE(L55," ",1)), L55="18 Months", 547, _xlfn.TEXTAFTER(L55," ",1) = "Years", _xlfn.NUMBERVALUE(_xlfn.TEXTBEFORE(L55," ",1))*365), "")</f>
        <v/>
      </c>
      <c r="P55" s="49"/>
      <c r="Q55" s="49"/>
      <c r="S55" s="5" t="s">
        <v>32</v>
      </c>
      <c r="T55" s="56" t="s">
        <v>40</v>
      </c>
    </row>
    <row r="56" spans="2:20" ht="16.3" x14ac:dyDescent="0.3">
      <c r="B56" s="15" t="s">
        <v>50</v>
      </c>
      <c r="C56" s="15" t="s">
        <v>72</v>
      </c>
      <c r="D56" s="15"/>
      <c r="E56" s="15" t="s">
        <v>142</v>
      </c>
      <c r="F56" s="44" t="s">
        <v>174</v>
      </c>
      <c r="G56" s="50" t="s">
        <v>146</v>
      </c>
      <c r="H56" s="51"/>
      <c r="I56" s="15"/>
      <c r="J56" s="45" t="s">
        <v>17</v>
      </c>
      <c r="K56" s="46">
        <v>6</v>
      </c>
      <c r="L56" s="16" t="s">
        <v>28</v>
      </c>
      <c r="M56" s="49">
        <v>28830</v>
      </c>
      <c r="N56" s="48">
        <v>46029</v>
      </c>
      <c r="O56" s="48" cm="1">
        <f t="array" ref="O56" xml:space="preserve"> IF(AND($L56 &lt;&gt; "", $L56 &lt;&gt; "Removed"), N56 + _xlfn.IFS(_xlfn.TEXTAFTER(L56," ",1) = "Days", _xlfn.NUMBERVALUE(_xlfn.TEXTBEFORE(L56," ",1)), L56="18 Months", 547, _xlfn.TEXTAFTER(L56," ",1) = "Years", _xlfn.NUMBERVALUE(_xlfn.TEXTBEFORE(L56," ",1))*365), "")</f>
        <v>46119</v>
      </c>
      <c r="P56" s="49">
        <v>28830</v>
      </c>
      <c r="Q56" s="49"/>
      <c r="S56" s="7" t="s">
        <v>24</v>
      </c>
      <c r="T56" s="57" t="s">
        <v>43</v>
      </c>
    </row>
    <row r="57" spans="2:20" ht="16.3" x14ac:dyDescent="0.3">
      <c r="B57" s="15" t="s">
        <v>50</v>
      </c>
      <c r="C57" s="15" t="s">
        <v>72</v>
      </c>
      <c r="D57" s="15"/>
      <c r="E57" s="15" t="s">
        <v>142</v>
      </c>
      <c r="F57" s="22" t="s">
        <v>174</v>
      </c>
      <c r="G57" s="26" t="s">
        <v>146</v>
      </c>
      <c r="H57" s="15"/>
      <c r="I57" s="15"/>
      <c r="J57" s="16" t="s">
        <v>15</v>
      </c>
      <c r="K57" s="16">
        <v>3</v>
      </c>
      <c r="L57" s="16" t="s">
        <v>28</v>
      </c>
      <c r="M57" s="49">
        <v>28830</v>
      </c>
      <c r="N57" s="48">
        <v>46029</v>
      </c>
      <c r="O57" s="48" cm="1">
        <f t="array" ref="O57" xml:space="preserve"> IF(AND($L57 &lt;&gt; "", $L57 &lt;&gt; "Removed"), N57 + _xlfn.IFS(_xlfn.TEXTAFTER(L57," ",1) = "Days", _xlfn.NUMBERVALUE(_xlfn.TEXTBEFORE(L57," ",1)), L57="18 Months", 547, _xlfn.TEXTAFTER(L57," ",1) = "Years", _xlfn.NUMBERVALUE(_xlfn.TEXTBEFORE(L57," ",1))*365), "")</f>
        <v>46119</v>
      </c>
      <c r="P57" s="49">
        <v>28830</v>
      </c>
      <c r="Q57" s="15"/>
      <c r="S57" s="9" t="s">
        <v>34</v>
      </c>
      <c r="T57" s="58"/>
    </row>
    <row r="58" spans="2:20" ht="16.3" x14ac:dyDescent="0.3">
      <c r="B58" s="15" t="s">
        <v>50</v>
      </c>
      <c r="C58" s="15" t="s">
        <v>72</v>
      </c>
      <c r="D58" s="15"/>
      <c r="E58" s="15" t="s">
        <v>224</v>
      </c>
      <c r="F58" s="44" t="s">
        <v>174</v>
      </c>
      <c r="G58" s="44" t="s">
        <v>147</v>
      </c>
      <c r="H58" s="45"/>
      <c r="I58" s="15"/>
      <c r="J58" s="45" t="s">
        <v>194</v>
      </c>
      <c r="K58" s="46">
        <v>4</v>
      </c>
      <c r="L58" s="16" t="s">
        <v>34</v>
      </c>
      <c r="M58" s="47">
        <v>27627</v>
      </c>
      <c r="N58" s="48">
        <v>45909</v>
      </c>
      <c r="O58" s="48" cm="1">
        <f t="array" ref="O58" xml:space="preserve"> IF(AND($L58 &lt;&gt; "", $L58 &lt;&gt; "Removed"), N58 + _xlfn.IFS(_xlfn.TEXTAFTER(L58," ",1) = "Days", _xlfn.NUMBERVALUE(_xlfn.TEXTBEFORE(L58," ",1)), L58="18 Months", 547, _xlfn.TEXTAFTER(L58," ",1) = "Years", _xlfn.NUMBERVALUE(_xlfn.TEXTBEFORE(L58," ",1))*365), "")</f>
        <v>46456</v>
      </c>
      <c r="P58" s="49"/>
      <c r="Q58" s="49"/>
      <c r="S58" s="12" t="s">
        <v>31</v>
      </c>
      <c r="T58" s="59" t="s">
        <v>47</v>
      </c>
    </row>
    <row r="59" spans="2:20" ht="16.3" x14ac:dyDescent="0.3">
      <c r="B59" s="15" t="s">
        <v>50</v>
      </c>
      <c r="C59" s="15" t="s">
        <v>72</v>
      </c>
      <c r="D59" s="15"/>
      <c r="E59" s="15" t="s">
        <v>224</v>
      </c>
      <c r="F59" s="44" t="s">
        <v>174</v>
      </c>
      <c r="G59" s="44" t="s">
        <v>147</v>
      </c>
      <c r="H59" s="45"/>
      <c r="I59" s="15"/>
      <c r="J59" s="45" t="s">
        <v>199</v>
      </c>
      <c r="K59" s="46">
        <v>4</v>
      </c>
      <c r="L59" s="16" t="s">
        <v>34</v>
      </c>
      <c r="M59" s="47">
        <v>27627</v>
      </c>
      <c r="N59" s="48">
        <v>45909</v>
      </c>
      <c r="O59" s="48" cm="1">
        <f t="array" ref="O59" xml:space="preserve"> IF(AND($L59 &lt;&gt; "", $L59 &lt;&gt; "Removed"), N59 + _xlfn.IFS(_xlfn.TEXTAFTER(L59," ",1) = "Days", _xlfn.NUMBERVALUE(_xlfn.TEXTBEFORE(L59," ",1)), L59="18 Months", 547, _xlfn.TEXTAFTER(L59," ",1) = "Years", _xlfn.NUMBERVALUE(_xlfn.TEXTBEFORE(L59," ",1))*365), "")</f>
        <v>46456</v>
      </c>
      <c r="P59" s="49"/>
      <c r="Q59" s="49"/>
      <c r="S59" s="8" t="s">
        <v>30</v>
      </c>
      <c r="T59" s="60" t="s">
        <v>41</v>
      </c>
    </row>
    <row r="60" spans="2:20" ht="16.3" x14ac:dyDescent="0.3">
      <c r="B60" s="15" t="s">
        <v>50</v>
      </c>
      <c r="C60" s="15" t="s">
        <v>72</v>
      </c>
      <c r="D60" s="15"/>
      <c r="E60" s="15" t="s">
        <v>225</v>
      </c>
      <c r="F60" s="44" t="s">
        <v>174</v>
      </c>
      <c r="G60" s="44" t="s">
        <v>148</v>
      </c>
      <c r="H60" s="45"/>
      <c r="I60" s="15"/>
      <c r="J60" s="45" t="s">
        <v>194</v>
      </c>
      <c r="K60" s="46">
        <v>4</v>
      </c>
      <c r="L60" s="16" t="s">
        <v>34</v>
      </c>
      <c r="M60" s="47">
        <v>27627</v>
      </c>
      <c r="N60" s="48">
        <v>45909</v>
      </c>
      <c r="O60" s="48" cm="1">
        <f t="array" ref="O60" xml:space="preserve"> IF(AND($L60 &lt;&gt; "", $L60 &lt;&gt; "Removed"), N60 + _xlfn.IFS(_xlfn.TEXTAFTER(L60," ",1) = "Days", _xlfn.NUMBERVALUE(_xlfn.TEXTBEFORE(L60," ",1)), L60="18 Months", 547, _xlfn.TEXTAFTER(L60," ",1) = "Years", _xlfn.NUMBERVALUE(_xlfn.TEXTBEFORE(L60," ",1))*365), "")</f>
        <v>46456</v>
      </c>
      <c r="P60" s="49"/>
      <c r="Q60" s="49"/>
      <c r="S60" s="3" t="s">
        <v>33</v>
      </c>
      <c r="T60" s="2" t="s">
        <v>26</v>
      </c>
    </row>
    <row r="61" spans="2:20" ht="16.3" x14ac:dyDescent="0.3">
      <c r="B61" s="15"/>
      <c r="C61" s="15"/>
      <c r="D61" s="15"/>
      <c r="E61" s="15" t="s">
        <v>27</v>
      </c>
      <c r="F61" s="44"/>
      <c r="G61" s="50"/>
      <c r="H61" s="51"/>
      <c r="I61" s="15"/>
      <c r="J61" s="45"/>
      <c r="K61" s="46"/>
      <c r="L61" s="16" t="s">
        <v>27</v>
      </c>
      <c r="M61" s="47"/>
      <c r="N61" s="48"/>
      <c r="O61" s="48" t="str" cm="1">
        <f t="array" ref="O61" xml:space="preserve"> IF(AND($L61 &lt;&gt; "", $L61 &lt;&gt; "Removed"), N61 + _xlfn.IFS(_xlfn.TEXTAFTER(L61," ",1) = "Days", _xlfn.NUMBERVALUE(_xlfn.TEXTBEFORE(L61," ",1)), L61="18 Months", 547, _xlfn.TEXTAFTER(L61," ",1) = "Years", _xlfn.NUMBERVALUE(_xlfn.TEXTBEFORE(L61," ",1))*365), "")</f>
        <v/>
      </c>
      <c r="P61" s="49"/>
      <c r="Q61" s="49"/>
    </row>
    <row r="62" spans="2:20" ht="16.3" x14ac:dyDescent="0.3">
      <c r="B62" s="15" t="s">
        <v>50</v>
      </c>
      <c r="C62" s="15" t="s">
        <v>73</v>
      </c>
      <c r="D62" s="15"/>
      <c r="E62" s="15" t="s">
        <v>142</v>
      </c>
      <c r="F62" s="44" t="s">
        <v>175</v>
      </c>
      <c r="G62" s="50" t="s">
        <v>146</v>
      </c>
      <c r="H62" s="51"/>
      <c r="I62" s="15"/>
      <c r="J62" s="45" t="s">
        <v>197</v>
      </c>
      <c r="K62" s="46">
        <v>4</v>
      </c>
      <c r="L62" s="16" t="s">
        <v>28</v>
      </c>
      <c r="M62" s="49">
        <v>28830</v>
      </c>
      <c r="N62" s="48">
        <v>46029</v>
      </c>
      <c r="O62" s="48" cm="1">
        <f t="array" ref="O62" xml:space="preserve"> IF(AND($L62 &lt;&gt; "", $L62 &lt;&gt; "Removed"), N62 + _xlfn.IFS(_xlfn.TEXTAFTER(L62," ",1) = "Days", _xlfn.NUMBERVALUE(_xlfn.TEXTBEFORE(L62," ",1)), L62="18 Months", 547, _xlfn.TEXTAFTER(L62," ",1) = "Years", _xlfn.NUMBERVALUE(_xlfn.TEXTBEFORE(L62," ",1))*365), "")</f>
        <v>46119</v>
      </c>
      <c r="P62" s="49">
        <v>28830</v>
      </c>
      <c r="Q62" s="49"/>
    </row>
    <row r="63" spans="2:20" ht="16.3" x14ac:dyDescent="0.3">
      <c r="B63" s="15" t="s">
        <v>50</v>
      </c>
      <c r="C63" s="15" t="s">
        <v>73</v>
      </c>
      <c r="D63" s="15"/>
      <c r="E63" s="15" t="s">
        <v>223</v>
      </c>
      <c r="F63" s="44" t="s">
        <v>175</v>
      </c>
      <c r="G63" s="50" t="s">
        <v>147</v>
      </c>
      <c r="H63" s="51"/>
      <c r="I63" s="15"/>
      <c r="J63" s="45" t="s">
        <v>194</v>
      </c>
      <c r="K63" s="46">
        <v>2</v>
      </c>
      <c r="L63" s="16" t="s">
        <v>34</v>
      </c>
      <c r="M63" s="47">
        <v>27627</v>
      </c>
      <c r="N63" s="48">
        <v>45909</v>
      </c>
      <c r="O63" s="48" cm="1">
        <f t="array" ref="O63" xml:space="preserve"> IF(AND($L63 &lt;&gt; "", $L63 &lt;&gt; "Removed"), N63 + _xlfn.IFS(_xlfn.TEXTAFTER(L63," ",1) = "Days", _xlfn.NUMBERVALUE(_xlfn.TEXTBEFORE(L63," ",1)), L63="18 Months", 547, _xlfn.TEXTAFTER(L63," ",1) = "Years", _xlfn.NUMBERVALUE(_xlfn.TEXTBEFORE(L63," ",1))*365), "")</f>
        <v>46456</v>
      </c>
      <c r="P63" s="49"/>
      <c r="Q63" s="49"/>
    </row>
    <row r="64" spans="2:20" ht="16.3" x14ac:dyDescent="0.3">
      <c r="B64" s="15" t="s">
        <v>50</v>
      </c>
      <c r="C64" s="15" t="s">
        <v>73</v>
      </c>
      <c r="D64" s="15"/>
      <c r="E64" s="15" t="s">
        <v>223</v>
      </c>
      <c r="F64" s="22" t="s">
        <v>175</v>
      </c>
      <c r="G64" s="26" t="s">
        <v>147</v>
      </c>
      <c r="H64" s="15"/>
      <c r="I64" s="15"/>
      <c r="J64" s="16" t="s">
        <v>199</v>
      </c>
      <c r="K64" s="16">
        <v>2</v>
      </c>
      <c r="L64" s="16" t="s">
        <v>34</v>
      </c>
      <c r="M64" s="16">
        <v>27627</v>
      </c>
      <c r="N64" s="27">
        <v>45909</v>
      </c>
      <c r="O64" s="48" cm="1">
        <f t="array" ref="O64" xml:space="preserve"> IF(AND($L64 &lt;&gt; "", $L64 &lt;&gt; "Removed"), N64 + _xlfn.IFS(_xlfn.TEXTAFTER(L64," ",1) = "Days", _xlfn.NUMBERVALUE(_xlfn.TEXTBEFORE(L64," ",1)), L64="18 Months", 547, _xlfn.TEXTAFTER(L64," ",1) = "Years", _xlfn.NUMBERVALUE(_xlfn.TEXTBEFORE(L64," ",1))*365), "")</f>
        <v>46456</v>
      </c>
      <c r="P64" s="49"/>
      <c r="Q64" s="15"/>
    </row>
    <row r="65" spans="2:17" ht="16.3" x14ac:dyDescent="0.3">
      <c r="B65" s="15"/>
      <c r="C65" s="15"/>
      <c r="D65" s="15"/>
      <c r="E65" s="15" t="s">
        <v>27</v>
      </c>
      <c r="F65" s="44"/>
      <c r="G65" s="44"/>
      <c r="H65" s="45"/>
      <c r="I65" s="15"/>
      <c r="J65" s="45"/>
      <c r="K65" s="46"/>
      <c r="L65" s="16" t="s">
        <v>27</v>
      </c>
      <c r="M65" s="47"/>
      <c r="N65" s="48"/>
      <c r="O65" s="48" t="str" cm="1">
        <f t="array" ref="O65" xml:space="preserve"> IF(AND($L65 &lt;&gt; "", $L65 &lt;&gt; "Removed"), N65 + _xlfn.IFS(_xlfn.TEXTAFTER(L65," ",1) = "Days", _xlfn.NUMBERVALUE(_xlfn.TEXTBEFORE(L65," ",1)), L65="18 Months", 547, _xlfn.TEXTAFTER(L65," ",1) = "Years", _xlfn.NUMBERVALUE(_xlfn.TEXTBEFORE(L65," ",1))*365), "")</f>
        <v/>
      </c>
      <c r="P65" s="49"/>
      <c r="Q65" s="49"/>
    </row>
    <row r="66" spans="2:17" ht="16.3" x14ac:dyDescent="0.3">
      <c r="B66" s="15" t="s">
        <v>50</v>
      </c>
      <c r="C66" s="15" t="s">
        <v>73</v>
      </c>
      <c r="D66" s="15"/>
      <c r="E66" s="15" t="s">
        <v>142</v>
      </c>
      <c r="F66" s="44" t="s">
        <v>158</v>
      </c>
      <c r="G66" s="44" t="s">
        <v>146</v>
      </c>
      <c r="H66" s="45"/>
      <c r="I66" s="15"/>
      <c r="J66" s="45" t="s">
        <v>20</v>
      </c>
      <c r="K66" s="46">
        <v>9</v>
      </c>
      <c r="L66" s="16" t="s">
        <v>28</v>
      </c>
      <c r="M66" s="49">
        <v>28830</v>
      </c>
      <c r="N66" s="48">
        <v>46029</v>
      </c>
      <c r="O66" s="48" cm="1">
        <f t="array" ref="O66" xml:space="preserve"> IF(AND($L66 &lt;&gt; "", $L66 &lt;&gt; "Removed"), N66 + _xlfn.IFS(_xlfn.TEXTAFTER(L66," ",1) = "Days", _xlfn.NUMBERVALUE(_xlfn.TEXTBEFORE(L66," ",1)), L66="18 Months", 547, _xlfn.TEXTAFTER(L66," ",1) = "Years", _xlfn.NUMBERVALUE(_xlfn.TEXTBEFORE(L66," ",1))*365), "")</f>
        <v>46119</v>
      </c>
      <c r="P66" s="49">
        <v>28830</v>
      </c>
      <c r="Q66" s="49"/>
    </row>
    <row r="67" spans="2:17" ht="16.3" x14ac:dyDescent="0.3">
      <c r="B67" s="78" t="s">
        <v>50</v>
      </c>
      <c r="C67" s="78" t="s">
        <v>73</v>
      </c>
      <c r="D67" s="78"/>
      <c r="E67" s="78" t="s">
        <v>223</v>
      </c>
      <c r="F67" s="77" t="s">
        <v>176</v>
      </c>
      <c r="G67" s="77" t="s">
        <v>147</v>
      </c>
      <c r="H67" s="79"/>
      <c r="I67" s="78"/>
      <c r="J67" s="79" t="s">
        <v>194</v>
      </c>
      <c r="K67" s="80">
        <v>3</v>
      </c>
      <c r="L67" s="81" t="s">
        <v>34</v>
      </c>
      <c r="M67" s="81">
        <v>27627</v>
      </c>
      <c r="N67" s="82">
        <v>45909</v>
      </c>
      <c r="O67" s="48" cm="1">
        <f t="array" ref="O67" xml:space="preserve"> IF(AND($L67 &lt;&gt; "", $L67 &lt;&gt; "Removed"), N67 + _xlfn.IFS(_xlfn.TEXTAFTER(L67," ",1) = "Days", _xlfn.NUMBERVALUE(_xlfn.TEXTBEFORE(L67," ",1)), L67="18 Months", 547, _xlfn.TEXTAFTER(L67," ",1) = "Years", _xlfn.NUMBERVALUE(_xlfn.TEXTBEFORE(L67," ",1))*365), "")</f>
        <v>46456</v>
      </c>
      <c r="P67" s="81"/>
      <c r="Q67" s="81"/>
    </row>
    <row r="68" spans="2:17" ht="16.3" x14ac:dyDescent="0.3">
      <c r="B68" s="15" t="s">
        <v>50</v>
      </c>
      <c r="C68" s="15" t="s">
        <v>73</v>
      </c>
      <c r="D68" s="15"/>
      <c r="E68" s="15" t="s">
        <v>223</v>
      </c>
      <c r="F68" s="44" t="s">
        <v>176</v>
      </c>
      <c r="G68" s="50" t="s">
        <v>147</v>
      </c>
      <c r="H68" s="51"/>
      <c r="I68" s="15"/>
      <c r="J68" s="45" t="s">
        <v>199</v>
      </c>
      <c r="K68" s="61">
        <v>3</v>
      </c>
      <c r="L68" s="16" t="s">
        <v>34</v>
      </c>
      <c r="M68" s="47">
        <v>27627</v>
      </c>
      <c r="N68" s="48">
        <v>45909</v>
      </c>
      <c r="O68" s="48" cm="1">
        <f t="array" ref="O68" xml:space="preserve"> IF(AND($L68 &lt;&gt; "", $L68 &lt;&gt; "Removed"), N68 + _xlfn.IFS(_xlfn.TEXTAFTER(L68," ",1) = "Days", _xlfn.NUMBERVALUE(_xlfn.TEXTBEFORE(L68," ",1)), L68="18 Months", 547, _xlfn.TEXTAFTER(L68," ",1) = "Years", _xlfn.NUMBERVALUE(_xlfn.TEXTBEFORE(L68," ",1))*365), "")</f>
        <v>46456</v>
      </c>
      <c r="P68" s="49"/>
      <c r="Q68" s="49"/>
    </row>
    <row r="69" spans="2:17" ht="16.3" x14ac:dyDescent="0.3">
      <c r="B69" s="15"/>
      <c r="C69" s="15"/>
      <c r="D69" s="15"/>
      <c r="E69" s="15" t="s">
        <v>27</v>
      </c>
      <c r="F69" s="22"/>
      <c r="G69" s="26"/>
      <c r="H69" s="15"/>
      <c r="I69" s="15"/>
      <c r="J69" s="16"/>
      <c r="K69" s="16"/>
      <c r="L69" s="16" t="s">
        <v>27</v>
      </c>
      <c r="M69" s="16"/>
      <c r="N69" s="27"/>
      <c r="O69" s="48" t="str" cm="1">
        <f t="array" ref="O69" xml:space="preserve"> IF(AND($L69 &lt;&gt; "", $L69 &lt;&gt; "Removed"), N69 + _xlfn.IFS(_xlfn.TEXTAFTER(L69," ",1) = "Days", _xlfn.NUMBERVALUE(_xlfn.TEXTBEFORE(L69," ",1)), L69="18 Months", 547, _xlfn.TEXTAFTER(L69," ",1) = "Years", _xlfn.NUMBERVALUE(_xlfn.TEXTBEFORE(L69," ",1))*365), "")</f>
        <v/>
      </c>
      <c r="P69" s="49"/>
      <c r="Q69" s="15"/>
    </row>
    <row r="70" spans="2:17" ht="16.3" x14ac:dyDescent="0.3">
      <c r="B70" s="18" t="s">
        <v>50</v>
      </c>
      <c r="C70" s="18"/>
      <c r="D70" s="18"/>
      <c r="E70" s="18" t="s">
        <v>142</v>
      </c>
      <c r="F70" s="23" t="s">
        <v>177</v>
      </c>
      <c r="G70" s="62" t="s">
        <v>150</v>
      </c>
      <c r="H70" s="63"/>
      <c r="I70" s="18"/>
      <c r="J70" s="63" t="s">
        <v>200</v>
      </c>
      <c r="K70" s="64">
        <v>12</v>
      </c>
      <c r="L70" s="19" t="s">
        <v>33</v>
      </c>
      <c r="M70" s="65">
        <v>27249</v>
      </c>
      <c r="N70" s="66">
        <v>45840</v>
      </c>
      <c r="O70" s="48" t="str" cm="1">
        <f t="array" ref="O70" xml:space="preserve"> IF(AND($L70 &lt;&gt; "", $L70 &lt;&gt; "Removed"), N70 + _xlfn.IFS(_xlfn.TEXTAFTER(L70," ",1) = "Days", _xlfn.NUMBERVALUE(_xlfn.TEXTBEFORE(L70," ",1)), L70="18 Months", 547, _xlfn.TEXTAFTER(L70," ",1) = "Years", _xlfn.NUMBERVALUE(_xlfn.TEXTBEFORE(L70," ",1))*365), "")</f>
        <v/>
      </c>
      <c r="P70" s="17"/>
      <c r="Q70" s="65" t="s">
        <v>28</v>
      </c>
    </row>
    <row r="71" spans="2:17" ht="16.3" x14ac:dyDescent="0.3">
      <c r="B71" s="15" t="s">
        <v>50</v>
      </c>
      <c r="C71" s="15"/>
      <c r="D71" s="15"/>
      <c r="E71" s="15" t="s">
        <v>223</v>
      </c>
      <c r="F71" s="22" t="s">
        <v>177</v>
      </c>
      <c r="G71" s="44" t="s">
        <v>147</v>
      </c>
      <c r="H71" s="45"/>
      <c r="I71" s="15"/>
      <c r="J71" s="45" t="s">
        <v>194</v>
      </c>
      <c r="K71" s="61">
        <v>12</v>
      </c>
      <c r="L71" s="16" t="s">
        <v>34</v>
      </c>
      <c r="M71" s="47">
        <v>27627</v>
      </c>
      <c r="N71" s="48">
        <v>45909</v>
      </c>
      <c r="O71" s="48" cm="1">
        <f t="array" ref="O71" xml:space="preserve"> IF(AND($L71 &lt;&gt; "", $L71 &lt;&gt; "Removed"), N71 + _xlfn.IFS(_xlfn.TEXTAFTER(L71," ",1) = "Days", _xlfn.NUMBERVALUE(_xlfn.TEXTBEFORE(L71," ",1)), L71="18 Months", 547, _xlfn.TEXTAFTER(L71," ",1) = "Years", _xlfn.NUMBERVALUE(_xlfn.TEXTBEFORE(L71," ",1))*365), "")</f>
        <v>46456</v>
      </c>
      <c r="P71" s="49"/>
      <c r="Q71" s="49"/>
    </row>
    <row r="72" spans="2:17" ht="16.3" x14ac:dyDescent="0.3">
      <c r="B72" s="15"/>
      <c r="C72" s="15"/>
      <c r="D72" s="15"/>
      <c r="E72" s="15" t="s">
        <v>27</v>
      </c>
      <c r="F72" s="22"/>
      <c r="G72" s="50"/>
      <c r="H72" s="51"/>
      <c r="I72" s="15"/>
      <c r="J72" s="45"/>
      <c r="K72" s="61"/>
      <c r="L72" s="16" t="s">
        <v>27</v>
      </c>
      <c r="M72" s="47"/>
      <c r="N72" s="48"/>
      <c r="O72" s="48" t="str" cm="1">
        <f t="array" ref="O72" xml:space="preserve"> IF(AND($L72 &lt;&gt; "", $L72 &lt;&gt; "Removed"), N72 + _xlfn.IFS(_xlfn.TEXTAFTER(L72," ",1) = "Days", _xlfn.NUMBERVALUE(_xlfn.TEXTBEFORE(L72," ",1)), L72="18 Months", 547, _xlfn.TEXTAFTER(L72," ",1) = "Years", _xlfn.NUMBERVALUE(_xlfn.TEXTBEFORE(L72," ",1))*365), "")</f>
        <v/>
      </c>
      <c r="P72" s="49"/>
      <c r="Q72" s="49"/>
    </row>
    <row r="73" spans="2:17" ht="16.3" x14ac:dyDescent="0.3">
      <c r="B73" s="15" t="s">
        <v>50</v>
      </c>
      <c r="C73" s="15" t="s">
        <v>74</v>
      </c>
      <c r="D73" s="15"/>
      <c r="E73" s="15" t="s">
        <v>142</v>
      </c>
      <c r="F73" s="22"/>
      <c r="G73" s="50" t="s">
        <v>146</v>
      </c>
      <c r="H73" s="51"/>
      <c r="I73" s="15"/>
      <c r="J73" s="45" t="s">
        <v>18</v>
      </c>
      <c r="K73" s="46">
        <v>2</v>
      </c>
      <c r="L73" s="16" t="s">
        <v>28</v>
      </c>
      <c r="M73" s="49">
        <v>28830</v>
      </c>
      <c r="N73" s="48">
        <v>46029</v>
      </c>
      <c r="O73" s="48" cm="1">
        <f t="array" ref="O73" xml:space="preserve"> IF(AND($L73 &lt;&gt; "", $L73 &lt;&gt; "Removed"), N73 + _xlfn.IFS(_xlfn.TEXTAFTER(L73," ",1) = "Days", _xlfn.NUMBERVALUE(_xlfn.TEXTBEFORE(L73," ",1)), L73="18 Months", 547, _xlfn.TEXTAFTER(L73," ",1) = "Years", _xlfn.NUMBERVALUE(_xlfn.TEXTBEFORE(L73," ",1))*365), "")</f>
        <v>46119</v>
      </c>
      <c r="P73" s="49">
        <v>28830</v>
      </c>
      <c r="Q73" s="49"/>
    </row>
    <row r="74" spans="2:17" ht="16.3" x14ac:dyDescent="0.3">
      <c r="B74" s="15"/>
      <c r="C74" s="15"/>
      <c r="D74" s="15"/>
      <c r="E74" s="15" t="s">
        <v>27</v>
      </c>
      <c r="F74" s="22"/>
      <c r="G74" s="26"/>
      <c r="H74" s="15"/>
      <c r="I74" s="15"/>
      <c r="J74" s="16"/>
      <c r="K74" s="16"/>
      <c r="L74" s="16" t="s">
        <v>27</v>
      </c>
      <c r="M74" s="16"/>
      <c r="N74" s="27"/>
      <c r="O74" s="48" t="str" cm="1">
        <f t="array" ref="O74" xml:space="preserve"> IF(AND($L74 &lt;&gt; "", $L74 &lt;&gt; "Removed"), N74 + _xlfn.IFS(_xlfn.TEXTAFTER(L74," ",1) = "Days", _xlfn.NUMBERVALUE(_xlfn.TEXTBEFORE(L74," ",1)), L74="18 Months", 547, _xlfn.TEXTAFTER(L74," ",1) = "Years", _xlfn.NUMBERVALUE(_xlfn.TEXTBEFORE(L74," ",1))*365), "")</f>
        <v/>
      </c>
      <c r="P74" s="49"/>
      <c r="Q74" s="15"/>
    </row>
    <row r="75" spans="2:17" ht="16.3" x14ac:dyDescent="0.3">
      <c r="B75" s="15" t="s">
        <v>50</v>
      </c>
      <c r="C75" s="15" t="s">
        <v>75</v>
      </c>
      <c r="D75" s="15"/>
      <c r="E75" s="15" t="s">
        <v>142</v>
      </c>
      <c r="F75" s="22"/>
      <c r="G75" s="44" t="s">
        <v>146</v>
      </c>
      <c r="H75" s="45"/>
      <c r="I75" s="15"/>
      <c r="J75" s="45" t="s">
        <v>18</v>
      </c>
      <c r="K75" s="46">
        <v>2</v>
      </c>
      <c r="L75" s="16" t="s">
        <v>28</v>
      </c>
      <c r="M75" s="49">
        <v>28830</v>
      </c>
      <c r="N75" s="48">
        <v>46029</v>
      </c>
      <c r="O75" s="48" cm="1">
        <f t="array" ref="O75" xml:space="preserve"> IF(AND($L75 &lt;&gt; "", $L75 &lt;&gt; "Removed"), N75 + _xlfn.IFS(_xlfn.TEXTAFTER(L75," ",1) = "Days", _xlfn.NUMBERVALUE(_xlfn.TEXTBEFORE(L75," ",1)), L75="18 Months", 547, _xlfn.TEXTAFTER(L75," ",1) = "Years", _xlfn.NUMBERVALUE(_xlfn.TEXTBEFORE(L75," ",1))*365), "")</f>
        <v>46119</v>
      </c>
      <c r="P75" s="49">
        <v>28830</v>
      </c>
      <c r="Q75" s="49"/>
    </row>
    <row r="76" spans="2:17" ht="16.3" x14ac:dyDescent="0.3">
      <c r="B76" s="15" t="s">
        <v>50</v>
      </c>
      <c r="C76" s="15" t="s">
        <v>75</v>
      </c>
      <c r="D76" s="15"/>
      <c r="E76" s="15" t="s">
        <v>142</v>
      </c>
      <c r="F76" s="22"/>
      <c r="G76" s="44" t="s">
        <v>146</v>
      </c>
      <c r="H76" s="45"/>
      <c r="I76" s="15"/>
      <c r="J76" s="45" t="s">
        <v>197</v>
      </c>
      <c r="K76" s="46">
        <v>2</v>
      </c>
      <c r="L76" s="16" t="s">
        <v>28</v>
      </c>
      <c r="M76" s="49">
        <v>28830</v>
      </c>
      <c r="N76" s="48">
        <v>46029</v>
      </c>
      <c r="O76" s="48" cm="1">
        <f t="array" ref="O76" xml:space="preserve"> IF(AND($L76 &lt;&gt; "", $L76 &lt;&gt; "Removed"), N76 + _xlfn.IFS(_xlfn.TEXTAFTER(L76," ",1) = "Days", _xlfn.NUMBERVALUE(_xlfn.TEXTBEFORE(L76," ",1)), L76="18 Months", 547, _xlfn.TEXTAFTER(L76," ",1) = "Years", _xlfn.NUMBERVALUE(_xlfn.TEXTBEFORE(L76," ",1))*365), "")</f>
        <v>46119</v>
      </c>
      <c r="P76" s="49">
        <v>28830</v>
      </c>
      <c r="Q76" s="49"/>
    </row>
    <row r="77" spans="2:17" ht="16.3" x14ac:dyDescent="0.3">
      <c r="B77" s="15" t="s">
        <v>50</v>
      </c>
      <c r="C77" s="15" t="s">
        <v>75</v>
      </c>
      <c r="D77" s="15"/>
      <c r="E77" s="15" t="s">
        <v>142</v>
      </c>
      <c r="F77" s="22"/>
      <c r="G77" s="44" t="s">
        <v>146</v>
      </c>
      <c r="H77" s="45"/>
      <c r="I77" s="15"/>
      <c r="J77" s="45" t="s">
        <v>201</v>
      </c>
      <c r="K77" s="46">
        <v>2</v>
      </c>
      <c r="L77" s="16" t="s">
        <v>28</v>
      </c>
      <c r="M77" s="49">
        <v>28830</v>
      </c>
      <c r="N77" s="48">
        <v>46029</v>
      </c>
      <c r="O77" s="48" cm="1">
        <f t="array" ref="O77" xml:space="preserve"> IF(AND($L77 &lt;&gt; "", $L77 &lt;&gt; "Removed"), N77 + _xlfn.IFS(_xlfn.TEXTAFTER(L77," ",1) = "Days", _xlfn.NUMBERVALUE(_xlfn.TEXTBEFORE(L77," ",1)), L77="18 Months", 547, _xlfn.TEXTAFTER(L77," ",1) = "Years", _xlfn.NUMBERVALUE(_xlfn.TEXTBEFORE(L77," ",1))*365), "")</f>
        <v>46119</v>
      </c>
      <c r="P77" s="49">
        <v>28830</v>
      </c>
      <c r="Q77" s="49"/>
    </row>
    <row r="78" spans="2:17" ht="16.3" x14ac:dyDescent="0.3">
      <c r="B78" s="15" t="s">
        <v>50</v>
      </c>
      <c r="C78" s="15" t="s">
        <v>75</v>
      </c>
      <c r="D78" s="15"/>
      <c r="E78" s="15" t="s">
        <v>142</v>
      </c>
      <c r="F78" s="22"/>
      <c r="G78" s="44" t="s">
        <v>146</v>
      </c>
      <c r="H78" s="45"/>
      <c r="I78" s="15"/>
      <c r="J78" s="45" t="s">
        <v>202</v>
      </c>
      <c r="K78" s="46">
        <v>2</v>
      </c>
      <c r="L78" s="16" t="s">
        <v>28</v>
      </c>
      <c r="M78" s="49">
        <v>28830</v>
      </c>
      <c r="N78" s="48">
        <v>46029</v>
      </c>
      <c r="O78" s="48" cm="1">
        <f t="array" ref="O78" xml:space="preserve"> IF(AND($L78 &lt;&gt; "", $L78 &lt;&gt; "Removed"), N78 + _xlfn.IFS(_xlfn.TEXTAFTER(L78," ",1) = "Days", _xlfn.NUMBERVALUE(_xlfn.TEXTBEFORE(L78," ",1)), L78="18 Months", 547, _xlfn.TEXTAFTER(L78," ",1) = "Years", _xlfn.NUMBERVALUE(_xlfn.TEXTBEFORE(L78," ",1))*365), "")</f>
        <v>46119</v>
      </c>
      <c r="P78" s="49">
        <v>28830</v>
      </c>
      <c r="Q78" s="49"/>
    </row>
    <row r="79" spans="2:17" ht="16.3" x14ac:dyDescent="0.3">
      <c r="B79" s="15"/>
      <c r="C79" s="15"/>
      <c r="D79" s="15"/>
      <c r="E79" s="15" t="s">
        <v>27</v>
      </c>
      <c r="F79" s="22"/>
      <c r="G79" s="44"/>
      <c r="H79" s="45"/>
      <c r="I79" s="15"/>
      <c r="J79" s="45"/>
      <c r="K79" s="46"/>
      <c r="L79" s="16" t="s">
        <v>27</v>
      </c>
      <c r="M79" s="47"/>
      <c r="N79" s="48"/>
      <c r="O79" s="48" t="str" cm="1">
        <f t="array" ref="O79" xml:space="preserve"> IF(AND($L79 &lt;&gt; "", $L79 &lt;&gt; "Removed"), N79 + _xlfn.IFS(_xlfn.TEXTAFTER(L79," ",1) = "Days", _xlfn.NUMBERVALUE(_xlfn.TEXTBEFORE(L79," ",1)), L79="18 Months", 547, _xlfn.TEXTAFTER(L79," ",1) = "Years", _xlfn.NUMBERVALUE(_xlfn.TEXTBEFORE(L79," ",1))*365), "")</f>
        <v/>
      </c>
      <c r="P79" s="49"/>
      <c r="Q79" s="49"/>
    </row>
    <row r="80" spans="2:17" ht="16.3" x14ac:dyDescent="0.3">
      <c r="B80" s="15" t="s">
        <v>50</v>
      </c>
      <c r="C80" s="15" t="s">
        <v>76</v>
      </c>
      <c r="D80" s="15"/>
      <c r="E80" s="15" t="s">
        <v>142</v>
      </c>
      <c r="F80" s="22" t="s">
        <v>178</v>
      </c>
      <c r="G80" s="44" t="s">
        <v>146</v>
      </c>
      <c r="H80" s="45"/>
      <c r="I80" s="15"/>
      <c r="J80" s="45" t="s">
        <v>12</v>
      </c>
      <c r="K80" s="46">
        <v>6</v>
      </c>
      <c r="L80" s="16" t="s">
        <v>28</v>
      </c>
      <c r="M80" s="49">
        <v>28830</v>
      </c>
      <c r="N80" s="48">
        <v>46029</v>
      </c>
      <c r="O80" s="48" cm="1">
        <f t="array" ref="O80" xml:space="preserve"> IF(AND($L80 &lt;&gt; "", $L80 &lt;&gt; "Removed"), N80 + _xlfn.IFS(_xlfn.TEXTAFTER(L80," ",1) = "Days", _xlfn.NUMBERVALUE(_xlfn.TEXTBEFORE(L80," ",1)), L80="18 Months", 547, _xlfn.TEXTAFTER(L80," ",1) = "Years", _xlfn.NUMBERVALUE(_xlfn.TEXTBEFORE(L80," ",1))*365), "")</f>
        <v>46119</v>
      </c>
      <c r="P80" s="49">
        <v>28830</v>
      </c>
      <c r="Q80" s="49"/>
    </row>
    <row r="81" spans="2:17" ht="16.3" x14ac:dyDescent="0.3">
      <c r="B81" s="15" t="s">
        <v>50</v>
      </c>
      <c r="C81" s="15" t="s">
        <v>76</v>
      </c>
      <c r="D81" s="15"/>
      <c r="E81" s="15" t="s">
        <v>142</v>
      </c>
      <c r="F81" s="22" t="s">
        <v>178</v>
      </c>
      <c r="G81" s="50" t="s">
        <v>146</v>
      </c>
      <c r="H81" s="51"/>
      <c r="I81" s="15"/>
      <c r="J81" s="45" t="s">
        <v>16</v>
      </c>
      <c r="K81" s="46">
        <v>5</v>
      </c>
      <c r="L81" s="16" t="s">
        <v>28</v>
      </c>
      <c r="M81" s="49">
        <v>28830</v>
      </c>
      <c r="N81" s="48">
        <v>46029</v>
      </c>
      <c r="O81" s="48" cm="1">
        <f t="array" ref="O81" xml:space="preserve"> IF(AND($L81 &lt;&gt; "", $L81 &lt;&gt; "Removed"), N81 + _xlfn.IFS(_xlfn.TEXTAFTER(L81," ",1) = "Days", _xlfn.NUMBERVALUE(_xlfn.TEXTBEFORE(L81," ",1)), L81="18 Months", 547, _xlfn.TEXTAFTER(L81," ",1) = "Years", _xlfn.NUMBERVALUE(_xlfn.TEXTBEFORE(L81," ",1))*365), "")</f>
        <v>46119</v>
      </c>
      <c r="P81" s="49">
        <v>28830</v>
      </c>
      <c r="Q81" s="49"/>
    </row>
    <row r="82" spans="2:17" ht="16.3" x14ac:dyDescent="0.3">
      <c r="B82" s="15" t="s">
        <v>50</v>
      </c>
      <c r="C82" s="15" t="s">
        <v>76</v>
      </c>
      <c r="D82" s="15"/>
      <c r="E82" s="15" t="s">
        <v>223</v>
      </c>
      <c r="F82" s="22" t="s">
        <v>178</v>
      </c>
      <c r="G82" s="26" t="s">
        <v>147</v>
      </c>
      <c r="H82" s="15"/>
      <c r="I82" s="15"/>
      <c r="J82" s="16" t="s">
        <v>13</v>
      </c>
      <c r="K82" s="16">
        <v>6</v>
      </c>
      <c r="L82" s="16" t="s">
        <v>34</v>
      </c>
      <c r="M82" s="16">
        <v>27627</v>
      </c>
      <c r="N82" s="27">
        <v>45909</v>
      </c>
      <c r="O82" s="48" cm="1">
        <f t="array" ref="O82" xml:space="preserve"> IF(AND($L82 &lt;&gt; "", $L82 &lt;&gt; "Removed"), N82 + _xlfn.IFS(_xlfn.TEXTAFTER(L82," ",1) = "Days", _xlfn.NUMBERVALUE(_xlfn.TEXTBEFORE(L82," ",1)), L82="18 Months", 547, _xlfn.TEXTAFTER(L82," ",1) = "Years", _xlfn.NUMBERVALUE(_xlfn.TEXTBEFORE(L82," ",1))*365), "")</f>
        <v>46456</v>
      </c>
      <c r="P82" s="49"/>
      <c r="Q82" s="15"/>
    </row>
    <row r="83" spans="2:17" ht="16.3" x14ac:dyDescent="0.3">
      <c r="B83" s="15" t="s">
        <v>50</v>
      </c>
      <c r="C83" s="15" t="s">
        <v>76</v>
      </c>
      <c r="D83" s="15"/>
      <c r="E83" s="15" t="s">
        <v>223</v>
      </c>
      <c r="F83" s="22" t="s">
        <v>178</v>
      </c>
      <c r="G83" s="44" t="s">
        <v>147</v>
      </c>
      <c r="H83" s="45"/>
      <c r="I83" s="15"/>
      <c r="J83" s="45" t="s">
        <v>14</v>
      </c>
      <c r="K83" s="46">
        <v>5</v>
      </c>
      <c r="L83" s="16" t="s">
        <v>34</v>
      </c>
      <c r="M83" s="47">
        <v>27627</v>
      </c>
      <c r="N83" s="48">
        <v>45909</v>
      </c>
      <c r="O83" s="48" cm="1">
        <f t="array" ref="O83" xml:space="preserve"> IF(AND($L83 &lt;&gt; "", $L83 &lt;&gt; "Removed"), N83 + _xlfn.IFS(_xlfn.TEXTAFTER(L83," ",1) = "Days", _xlfn.NUMBERVALUE(_xlfn.TEXTBEFORE(L83," ",1)), L83="18 Months", 547, _xlfn.TEXTAFTER(L83," ",1) = "Years", _xlfn.NUMBERVALUE(_xlfn.TEXTBEFORE(L83," ",1))*365), "")</f>
        <v>46456</v>
      </c>
      <c r="P83" s="49"/>
      <c r="Q83" s="49"/>
    </row>
    <row r="84" spans="2:17" ht="16.3" x14ac:dyDescent="0.3">
      <c r="B84" s="15"/>
      <c r="C84" s="15"/>
      <c r="D84" s="15"/>
      <c r="E84" s="15" t="s">
        <v>27</v>
      </c>
      <c r="F84" s="22"/>
      <c r="G84" s="44"/>
      <c r="H84" s="45"/>
      <c r="I84" s="15"/>
      <c r="J84" s="45"/>
      <c r="K84" s="46"/>
      <c r="L84" s="16" t="s">
        <v>27</v>
      </c>
      <c r="M84" s="47"/>
      <c r="N84" s="48"/>
      <c r="O84" s="48" t="str" cm="1">
        <f t="array" ref="O84" xml:space="preserve"> IF(AND($L84 &lt;&gt; "", $L84 &lt;&gt; "Removed"), N84 + _xlfn.IFS(_xlfn.TEXTAFTER(L84," ",1) = "Days", _xlfn.NUMBERVALUE(_xlfn.TEXTBEFORE(L84," ",1)), L84="18 Months", 547, _xlfn.TEXTAFTER(L84," ",1) = "Years", _xlfn.NUMBERVALUE(_xlfn.TEXTBEFORE(L84," ",1))*365), "")</f>
        <v/>
      </c>
      <c r="P84" s="49"/>
      <c r="Q84" s="49"/>
    </row>
    <row r="85" spans="2:17" ht="16.3" x14ac:dyDescent="0.3">
      <c r="B85" s="15" t="s">
        <v>50</v>
      </c>
      <c r="C85" s="15" t="s">
        <v>77</v>
      </c>
      <c r="D85" s="15"/>
      <c r="E85" s="15" t="s">
        <v>142</v>
      </c>
      <c r="F85" s="22" t="s">
        <v>179</v>
      </c>
      <c r="G85" s="44" t="s">
        <v>146</v>
      </c>
      <c r="H85" s="45"/>
      <c r="I85" s="15"/>
      <c r="J85" s="45" t="s">
        <v>12</v>
      </c>
      <c r="K85" s="67">
        <v>10</v>
      </c>
      <c r="L85" s="16" t="s">
        <v>28</v>
      </c>
      <c r="M85" s="49">
        <v>28830</v>
      </c>
      <c r="N85" s="48">
        <v>46029</v>
      </c>
      <c r="O85" s="48" cm="1">
        <f t="array" ref="O85" xml:space="preserve"> IF(AND($L85 &lt;&gt; "", $L85 &lt;&gt; "Removed"), N85 + _xlfn.IFS(_xlfn.TEXTAFTER(L85," ",1) = "Days", _xlfn.NUMBERVALUE(_xlfn.TEXTBEFORE(L85," ",1)), L85="18 Months", 547, _xlfn.TEXTAFTER(L85," ",1) = "Years", _xlfn.NUMBERVALUE(_xlfn.TEXTBEFORE(L85," ",1))*365), "")</f>
        <v>46119</v>
      </c>
      <c r="P85" s="49">
        <v>28830</v>
      </c>
      <c r="Q85" s="49"/>
    </row>
    <row r="86" spans="2:17" ht="16.3" x14ac:dyDescent="0.3">
      <c r="B86" s="15"/>
      <c r="C86" s="15"/>
      <c r="D86" s="15"/>
      <c r="E86" s="15" t="s">
        <v>27</v>
      </c>
      <c r="F86" s="22"/>
      <c r="G86" s="44"/>
      <c r="H86" s="45"/>
      <c r="I86" s="15"/>
      <c r="J86" s="45"/>
      <c r="K86" s="46"/>
      <c r="L86" s="16" t="s">
        <v>27</v>
      </c>
      <c r="M86" s="47"/>
      <c r="N86" s="48"/>
      <c r="O86" s="48" t="str" cm="1">
        <f t="array" ref="O86" xml:space="preserve"> IF(AND($L86 &lt;&gt; "", $L86 &lt;&gt; "Removed"), N86 + _xlfn.IFS(_xlfn.TEXTAFTER(L86," ",1) = "Days", _xlfn.NUMBERVALUE(_xlfn.TEXTBEFORE(L86," ",1)), L86="18 Months", 547, _xlfn.TEXTAFTER(L86," ",1) = "Years", _xlfn.NUMBERVALUE(_xlfn.TEXTBEFORE(L86," ",1))*365), "")</f>
        <v/>
      </c>
      <c r="P86" s="49"/>
      <c r="Q86" s="49"/>
    </row>
    <row r="87" spans="2:17" ht="16.3" x14ac:dyDescent="0.3">
      <c r="B87" s="15" t="s">
        <v>50</v>
      </c>
      <c r="C87" s="15" t="s">
        <v>78</v>
      </c>
      <c r="D87" s="15"/>
      <c r="E87" s="15" t="s">
        <v>142</v>
      </c>
      <c r="F87" s="22" t="s">
        <v>180</v>
      </c>
      <c r="G87" s="26" t="s">
        <v>145</v>
      </c>
      <c r="H87" s="15"/>
      <c r="I87" s="15"/>
      <c r="J87" s="16" t="s">
        <v>17</v>
      </c>
      <c r="K87" s="16">
        <v>18</v>
      </c>
      <c r="L87" s="16" t="s">
        <v>28</v>
      </c>
      <c r="M87" s="49">
        <v>28830</v>
      </c>
      <c r="N87" s="48">
        <v>46029</v>
      </c>
      <c r="O87" s="48" cm="1">
        <f t="array" ref="O87" xml:space="preserve"> IF(AND($L87 &lt;&gt; "", $L87 &lt;&gt; "Removed"), N87 + _xlfn.IFS(_xlfn.TEXTAFTER(L87," ",1) = "Days", _xlfn.NUMBERVALUE(_xlfn.TEXTBEFORE(L87," ",1)), L87="18 Months", 547, _xlfn.TEXTAFTER(L87," ",1) = "Years", _xlfn.NUMBERVALUE(_xlfn.TEXTBEFORE(L87," ",1))*365), "")</f>
        <v>46119</v>
      </c>
      <c r="P87" s="49">
        <v>28830</v>
      </c>
      <c r="Q87" s="21"/>
    </row>
    <row r="88" spans="2:17" ht="16.3" x14ac:dyDescent="0.3">
      <c r="B88" s="15" t="s">
        <v>50</v>
      </c>
      <c r="C88" s="15" t="s">
        <v>78</v>
      </c>
      <c r="D88" s="15"/>
      <c r="E88" s="15" t="s">
        <v>223</v>
      </c>
      <c r="F88" s="22" t="s">
        <v>180</v>
      </c>
      <c r="G88" s="50" t="s">
        <v>151</v>
      </c>
      <c r="H88" s="45"/>
      <c r="I88" s="15"/>
      <c r="J88" s="45" t="s">
        <v>13</v>
      </c>
      <c r="K88" s="46">
        <v>18</v>
      </c>
      <c r="L88" s="16" t="s">
        <v>34</v>
      </c>
      <c r="M88" s="47">
        <v>23971</v>
      </c>
      <c r="N88" s="48">
        <v>45909</v>
      </c>
      <c r="O88" s="48" cm="1">
        <f t="array" ref="O88" xml:space="preserve"> IF(AND($L88 &lt;&gt; "", $L88 &lt;&gt; "Removed"), N88 + _xlfn.IFS(_xlfn.TEXTAFTER(L88," ",1) = "Days", _xlfn.NUMBERVALUE(_xlfn.TEXTBEFORE(L88," ",1)), L88="18 Months", 547, _xlfn.TEXTAFTER(L88," ",1) = "Years", _xlfn.NUMBERVALUE(_xlfn.TEXTBEFORE(L88," ",1))*365), "")</f>
        <v>46456</v>
      </c>
      <c r="P88" s="49">
        <v>27627</v>
      </c>
      <c r="Q88" s="28" t="s">
        <v>237</v>
      </c>
    </row>
    <row r="89" spans="2:17" ht="16.3" x14ac:dyDescent="0.3">
      <c r="B89" s="15"/>
      <c r="C89" s="15"/>
      <c r="D89" s="15"/>
      <c r="E89" s="15" t="s">
        <v>27</v>
      </c>
      <c r="F89" s="22"/>
      <c r="G89" s="50"/>
      <c r="H89" s="51"/>
      <c r="I89" s="15"/>
      <c r="J89" s="45"/>
      <c r="K89" s="46"/>
      <c r="L89" s="16" t="s">
        <v>27</v>
      </c>
      <c r="M89" s="47"/>
      <c r="N89" s="48"/>
      <c r="O89" s="48" t="str" cm="1">
        <f t="array" ref="O89" xml:space="preserve"> IF(AND($L89 &lt;&gt; "", $L89 &lt;&gt; "Removed"), N89 + _xlfn.IFS(_xlfn.TEXTAFTER(L89," ",1) = "Days", _xlfn.NUMBERVALUE(_xlfn.TEXTBEFORE(L89," ",1)), L89="18 Months", 547, _xlfn.TEXTAFTER(L89," ",1) = "Years", _xlfn.NUMBERVALUE(_xlfn.TEXTBEFORE(L89," ",1))*365), "")</f>
        <v/>
      </c>
      <c r="P89" s="49"/>
      <c r="Q89" s="28"/>
    </row>
    <row r="90" spans="2:17" ht="16.3" x14ac:dyDescent="0.3">
      <c r="B90" s="15" t="s">
        <v>50</v>
      </c>
      <c r="C90" s="15" t="s">
        <v>79</v>
      </c>
      <c r="D90" s="15"/>
      <c r="E90" s="15" t="s">
        <v>142</v>
      </c>
      <c r="F90" s="22" t="s">
        <v>181</v>
      </c>
      <c r="G90" s="50" t="s">
        <v>146</v>
      </c>
      <c r="H90" s="51"/>
      <c r="I90" s="15"/>
      <c r="J90" s="45" t="s">
        <v>203</v>
      </c>
      <c r="K90" s="46">
        <v>5</v>
      </c>
      <c r="L90" s="16" t="s">
        <v>33</v>
      </c>
      <c r="M90" s="47">
        <v>18279</v>
      </c>
      <c r="N90" s="48">
        <v>44386</v>
      </c>
      <c r="O90" s="48" t="str" cm="1">
        <f t="array" ref="O90" xml:space="preserve"> IF(AND($L90 &lt;&gt; "", $L90 &lt;&gt; "Removed"), N90 + _xlfn.IFS(_xlfn.TEXTAFTER(L90," ",1) = "Days", _xlfn.NUMBERVALUE(_xlfn.TEXTBEFORE(L90," ",1)), L90="18 Months", 547, _xlfn.TEXTAFTER(L90," ",1) = "Years", _xlfn.NUMBERVALUE(_xlfn.TEXTBEFORE(L90," ",1))*365), "")</f>
        <v/>
      </c>
      <c r="P90" s="49"/>
      <c r="Q90" s="28"/>
    </row>
    <row r="91" spans="2:17" ht="16.3" x14ac:dyDescent="0.3">
      <c r="B91" s="15"/>
      <c r="C91" s="15"/>
      <c r="D91" s="15"/>
      <c r="E91" s="15" t="s">
        <v>27</v>
      </c>
      <c r="F91" s="22"/>
      <c r="G91" s="26"/>
      <c r="H91" s="15"/>
      <c r="I91" s="15"/>
      <c r="J91" s="16"/>
      <c r="K91" s="16"/>
      <c r="L91" s="16" t="s">
        <v>27</v>
      </c>
      <c r="M91" s="16"/>
      <c r="N91" s="27"/>
      <c r="O91" s="48" t="str" cm="1">
        <f t="array" ref="O91" xml:space="preserve"> IF(AND($L91 &lt;&gt; "", $L91 &lt;&gt; "Removed"), N91 + _xlfn.IFS(_xlfn.TEXTAFTER(L91," ",1) = "Days", _xlfn.NUMBERVALUE(_xlfn.TEXTBEFORE(L91," ",1)), L91="18 Months", 547, _xlfn.TEXTAFTER(L91," ",1) = "Years", _xlfn.NUMBERVALUE(_xlfn.TEXTBEFORE(L91," ",1))*365), "")</f>
        <v/>
      </c>
      <c r="P91" s="49"/>
      <c r="Q91" s="21"/>
    </row>
    <row r="92" spans="2:17" ht="16.3" x14ac:dyDescent="0.3">
      <c r="B92" s="15" t="s">
        <v>50</v>
      </c>
      <c r="C92" s="15" t="s">
        <v>80</v>
      </c>
      <c r="D92" s="15"/>
      <c r="E92" s="15" t="s">
        <v>142</v>
      </c>
      <c r="F92" s="22" t="s">
        <v>48</v>
      </c>
      <c r="G92" s="44" t="s">
        <v>146</v>
      </c>
      <c r="H92" s="45"/>
      <c r="I92" s="15"/>
      <c r="J92" s="45" t="s">
        <v>12</v>
      </c>
      <c r="K92" s="46">
        <v>12</v>
      </c>
      <c r="L92" s="16" t="s">
        <v>28</v>
      </c>
      <c r="M92" s="49">
        <v>28830</v>
      </c>
      <c r="N92" s="48">
        <v>46029</v>
      </c>
      <c r="O92" s="48" cm="1">
        <f t="array" ref="O92" xml:space="preserve"> IF(AND($L92 &lt;&gt; "", $L92 &lt;&gt; "Removed"), N92 + _xlfn.IFS(_xlfn.TEXTAFTER(L92," ",1) = "Days", _xlfn.NUMBERVALUE(_xlfn.TEXTBEFORE(L92," ",1)), L92="18 Months", 547, _xlfn.TEXTAFTER(L92," ",1) = "Years", _xlfn.NUMBERVALUE(_xlfn.TEXTBEFORE(L92," ",1))*365), "")</f>
        <v>46119</v>
      </c>
      <c r="P92" s="49">
        <v>28830</v>
      </c>
      <c r="Q92" s="28"/>
    </row>
    <row r="93" spans="2:17" ht="16.3" x14ac:dyDescent="0.3">
      <c r="B93" s="15"/>
      <c r="C93" s="15"/>
      <c r="D93" s="15"/>
      <c r="E93" s="15" t="s">
        <v>27</v>
      </c>
      <c r="F93" s="22"/>
      <c r="G93" s="44"/>
      <c r="H93" s="45"/>
      <c r="I93" s="15"/>
      <c r="J93" s="45"/>
      <c r="K93" s="46"/>
      <c r="L93" s="16" t="s">
        <v>27</v>
      </c>
      <c r="M93" s="47"/>
      <c r="N93" s="48"/>
      <c r="O93" s="48" t="str" cm="1">
        <f t="array" ref="O93" xml:space="preserve"> IF(AND($L93 &lt;&gt; "", $L93 &lt;&gt; "Removed"), N93 + _xlfn.IFS(_xlfn.TEXTAFTER(L93," ",1) = "Days", _xlfn.NUMBERVALUE(_xlfn.TEXTBEFORE(L93," ",1)), L93="18 Months", 547, _xlfn.TEXTAFTER(L93," ",1) = "Years", _xlfn.NUMBERVALUE(_xlfn.TEXTBEFORE(L93," ",1))*365), "")</f>
        <v/>
      </c>
      <c r="P93" s="49"/>
      <c r="Q93" s="28"/>
    </row>
    <row r="94" spans="2:17" ht="16.3" x14ac:dyDescent="0.3">
      <c r="B94" s="15" t="s">
        <v>81</v>
      </c>
      <c r="C94" s="15"/>
      <c r="D94" s="15"/>
      <c r="E94" s="15" t="s">
        <v>142</v>
      </c>
      <c r="F94" s="22" t="s">
        <v>158</v>
      </c>
      <c r="G94" s="26" t="s">
        <v>145</v>
      </c>
      <c r="H94" s="15"/>
      <c r="I94" s="15"/>
      <c r="J94" s="16" t="s">
        <v>195</v>
      </c>
      <c r="K94" s="16">
        <v>15</v>
      </c>
      <c r="L94" s="16" t="s">
        <v>28</v>
      </c>
      <c r="M94" s="49">
        <v>28830</v>
      </c>
      <c r="N94" s="48">
        <v>46029</v>
      </c>
      <c r="O94" s="48" cm="1">
        <f t="array" ref="O94" xml:space="preserve"> IF(AND($L94 &lt;&gt; "", $L94 &lt;&gt; "Removed"), N94 + _xlfn.IFS(_xlfn.TEXTAFTER(L94," ",1) = "Days", _xlfn.NUMBERVALUE(_xlfn.TEXTBEFORE(L94," ",1)), L94="18 Months", 547, _xlfn.TEXTAFTER(L94," ",1) = "Years", _xlfn.NUMBERVALUE(_xlfn.TEXTBEFORE(L94," ",1))*365), "")</f>
        <v>46119</v>
      </c>
      <c r="P94" s="49">
        <v>28830</v>
      </c>
      <c r="Q94" s="28"/>
    </row>
    <row r="95" spans="2:17" ht="16.3" x14ac:dyDescent="0.3">
      <c r="B95" s="15" t="s">
        <v>81</v>
      </c>
      <c r="C95" s="15"/>
      <c r="D95" s="15"/>
      <c r="E95" s="15" t="s">
        <v>223</v>
      </c>
      <c r="F95" s="22" t="s">
        <v>176</v>
      </c>
      <c r="G95" s="44" t="s">
        <v>148</v>
      </c>
      <c r="H95" s="45"/>
      <c r="I95" s="15"/>
      <c r="J95" s="45" t="s">
        <v>194</v>
      </c>
      <c r="K95" s="46">
        <v>15</v>
      </c>
      <c r="L95" s="16" t="s">
        <v>34</v>
      </c>
      <c r="M95" s="47">
        <v>27627</v>
      </c>
      <c r="N95" s="48">
        <v>45909</v>
      </c>
      <c r="O95" s="48" cm="1">
        <f t="array" ref="O95" xml:space="preserve"> IF(AND($L95 &lt;&gt; "", $L95 &lt;&gt; "Removed"), N95 + _xlfn.IFS(_xlfn.TEXTAFTER(L95," ",1) = "Days", _xlfn.NUMBERVALUE(_xlfn.TEXTBEFORE(L95," ",1)), L95="18 Months", 547, _xlfn.TEXTAFTER(L95," ",1) = "Years", _xlfn.NUMBERVALUE(_xlfn.TEXTBEFORE(L95," ",1))*365), "")</f>
        <v>46456</v>
      </c>
      <c r="P95" s="49"/>
      <c r="Q95" s="28"/>
    </row>
    <row r="96" spans="2:17" ht="16.3" x14ac:dyDescent="0.3">
      <c r="B96" s="15"/>
      <c r="C96" s="15"/>
      <c r="D96" s="15"/>
      <c r="E96" s="15" t="s">
        <v>27</v>
      </c>
      <c r="F96" s="22"/>
      <c r="G96" s="50"/>
      <c r="H96" s="51"/>
      <c r="I96" s="15"/>
      <c r="J96" s="45"/>
      <c r="K96" s="46"/>
      <c r="L96" s="16" t="s">
        <v>27</v>
      </c>
      <c r="M96" s="47"/>
      <c r="N96" s="48"/>
      <c r="O96" s="48" t="str" cm="1">
        <f t="array" ref="O96" xml:space="preserve"> IF(AND($L96 &lt;&gt; "", $L96 &lt;&gt; "Removed"), N96 + _xlfn.IFS(_xlfn.TEXTAFTER(L96," ",1) = "Days", _xlfn.NUMBERVALUE(_xlfn.TEXTBEFORE(L96," ",1)), L96="18 Months", 547, _xlfn.TEXTAFTER(L96," ",1) = "Years", _xlfn.NUMBERVALUE(_xlfn.TEXTBEFORE(L96," ",1))*365), "")</f>
        <v/>
      </c>
      <c r="P96" s="49"/>
      <c r="Q96" s="28"/>
    </row>
    <row r="97" spans="2:17" ht="16.3" x14ac:dyDescent="0.3">
      <c r="B97" s="15" t="s">
        <v>81</v>
      </c>
      <c r="C97" s="15"/>
      <c r="D97" s="15"/>
      <c r="E97" s="15" t="s">
        <v>142</v>
      </c>
      <c r="F97" s="22" t="s">
        <v>171</v>
      </c>
      <c r="G97" s="26" t="s">
        <v>145</v>
      </c>
      <c r="H97" s="15"/>
      <c r="I97" s="15"/>
      <c r="J97" s="16" t="s">
        <v>195</v>
      </c>
      <c r="K97" s="16">
        <v>9</v>
      </c>
      <c r="L97" s="16" t="s">
        <v>28</v>
      </c>
      <c r="M97" s="49">
        <v>28830</v>
      </c>
      <c r="N97" s="48">
        <v>46029</v>
      </c>
      <c r="O97" s="48" cm="1">
        <f t="array" ref="O97" xml:space="preserve"> IF(AND($L97 &lt;&gt; "", $L97 &lt;&gt; "Removed"), N97 + _xlfn.IFS(_xlfn.TEXTAFTER(L97," ",1) = "Days", _xlfn.NUMBERVALUE(_xlfn.TEXTBEFORE(L97," ",1)), L97="18 Months", 547, _xlfn.TEXTAFTER(L97," ",1) = "Years", _xlfn.NUMBERVALUE(_xlfn.TEXTBEFORE(L97," ",1))*365), "")</f>
        <v>46119</v>
      </c>
      <c r="P97" s="49">
        <v>28830</v>
      </c>
      <c r="Q97" s="21"/>
    </row>
    <row r="98" spans="2:17" ht="16.3" x14ac:dyDescent="0.3">
      <c r="B98" s="15" t="s">
        <v>81</v>
      </c>
      <c r="C98" s="15"/>
      <c r="D98" s="15"/>
      <c r="E98" s="15" t="s">
        <v>223</v>
      </c>
      <c r="F98" s="22" t="s">
        <v>171</v>
      </c>
      <c r="G98" s="44" t="s">
        <v>148</v>
      </c>
      <c r="H98" s="45"/>
      <c r="I98" s="15"/>
      <c r="J98" s="45" t="s">
        <v>194</v>
      </c>
      <c r="K98" s="46">
        <v>9</v>
      </c>
      <c r="L98" s="16" t="s">
        <v>34</v>
      </c>
      <c r="M98" s="47">
        <v>27627</v>
      </c>
      <c r="N98" s="48">
        <v>45909</v>
      </c>
      <c r="O98" s="48" cm="1">
        <f t="array" ref="O98" xml:space="preserve"> IF(AND($L98 &lt;&gt; "", $L98 &lt;&gt; "Removed"), N98 + _xlfn.IFS(_xlfn.TEXTAFTER(L98," ",1) = "Days", _xlfn.NUMBERVALUE(_xlfn.TEXTBEFORE(L98," ",1)), L98="18 Months", 547, _xlfn.TEXTAFTER(L98," ",1) = "Years", _xlfn.NUMBERVALUE(_xlfn.TEXTBEFORE(L98," ",1))*365), "")</f>
        <v>46456</v>
      </c>
      <c r="P98" s="49"/>
      <c r="Q98" s="28"/>
    </row>
    <row r="99" spans="2:17" ht="16.3" x14ac:dyDescent="0.3">
      <c r="B99" s="15"/>
      <c r="C99" s="15"/>
      <c r="D99" s="15"/>
      <c r="E99" s="15" t="s">
        <v>27</v>
      </c>
      <c r="F99" s="22"/>
      <c r="G99" s="44"/>
      <c r="H99" s="45"/>
      <c r="I99" s="15"/>
      <c r="J99" s="45"/>
      <c r="K99" s="46"/>
      <c r="L99" s="16" t="s">
        <v>27</v>
      </c>
      <c r="M99" s="47"/>
      <c r="N99" s="48"/>
      <c r="O99" s="48" t="str" cm="1">
        <f t="array" ref="O99" xml:space="preserve"> IF(AND($L99 &lt;&gt; "", $L99 &lt;&gt; "Removed"), N99 + _xlfn.IFS(_xlfn.TEXTAFTER(L99," ",1) = "Days", _xlfn.NUMBERVALUE(_xlfn.TEXTBEFORE(L99," ",1)), L99="18 Months", 547, _xlfn.TEXTAFTER(L99," ",1) = "Years", _xlfn.NUMBERVALUE(_xlfn.TEXTBEFORE(L99," ",1))*365), "")</f>
        <v/>
      </c>
      <c r="P99" s="49"/>
      <c r="Q99" s="28"/>
    </row>
    <row r="100" spans="2:17" ht="16.3" x14ac:dyDescent="0.3">
      <c r="B100" s="15" t="s">
        <v>81</v>
      </c>
      <c r="C100" s="15"/>
      <c r="D100" s="15"/>
      <c r="E100" s="15" t="s">
        <v>142</v>
      </c>
      <c r="F100" s="22" t="s">
        <v>159</v>
      </c>
      <c r="G100" s="44" t="s">
        <v>145</v>
      </c>
      <c r="H100" s="45"/>
      <c r="I100" s="15"/>
      <c r="J100" s="45" t="s">
        <v>195</v>
      </c>
      <c r="K100" s="46">
        <v>9</v>
      </c>
      <c r="L100" s="16" t="s">
        <v>28</v>
      </c>
      <c r="M100" s="49">
        <v>28830</v>
      </c>
      <c r="N100" s="48">
        <v>46029</v>
      </c>
      <c r="O100" s="48" cm="1">
        <f t="array" ref="O100" xml:space="preserve"> IF(AND($L100 &lt;&gt; "", $L100 &lt;&gt; "Removed"), N100 + _xlfn.IFS(_xlfn.TEXTAFTER(L100," ",1) = "Days", _xlfn.NUMBERVALUE(_xlfn.TEXTBEFORE(L100," ",1)), L100="18 Months", 547, _xlfn.TEXTAFTER(L100," ",1) = "Years", _xlfn.NUMBERVALUE(_xlfn.TEXTBEFORE(L100," ",1))*365), "")</f>
        <v>46119</v>
      </c>
      <c r="P100" s="49">
        <v>28830</v>
      </c>
      <c r="Q100" s="49"/>
    </row>
    <row r="101" spans="2:17" ht="16.3" x14ac:dyDescent="0.3">
      <c r="B101" s="15" t="s">
        <v>81</v>
      </c>
      <c r="C101" s="15"/>
      <c r="D101" s="15"/>
      <c r="E101" s="15" t="s">
        <v>142</v>
      </c>
      <c r="F101" s="22" t="s">
        <v>159</v>
      </c>
      <c r="G101" s="50" t="s">
        <v>145</v>
      </c>
      <c r="H101" s="51"/>
      <c r="I101" s="15"/>
      <c r="J101" s="45" t="s">
        <v>204</v>
      </c>
      <c r="K101" s="46">
        <v>3</v>
      </c>
      <c r="L101" s="16" t="s">
        <v>28</v>
      </c>
      <c r="M101" s="49">
        <v>28830</v>
      </c>
      <c r="N101" s="48">
        <v>46029</v>
      </c>
      <c r="O101" s="48" cm="1">
        <f t="array" ref="O101" xml:space="preserve"> IF(AND($L101 &lt;&gt; "", $L101 &lt;&gt; "Removed"), N101 + _xlfn.IFS(_xlfn.TEXTAFTER(L101," ",1) = "Days", _xlfn.NUMBERVALUE(_xlfn.TEXTBEFORE(L101," ",1)), L101="18 Months", 547, _xlfn.TEXTAFTER(L101," ",1) = "Years", _xlfn.NUMBERVALUE(_xlfn.TEXTBEFORE(L101," ",1))*365), "")</f>
        <v>46119</v>
      </c>
      <c r="P101" s="49">
        <v>28830</v>
      </c>
      <c r="Q101" s="49"/>
    </row>
    <row r="102" spans="2:17" ht="16.3" x14ac:dyDescent="0.3">
      <c r="B102" s="15" t="s">
        <v>81</v>
      </c>
      <c r="C102" s="15"/>
      <c r="D102" s="15"/>
      <c r="E102" s="15" t="s">
        <v>223</v>
      </c>
      <c r="F102" s="22" t="s">
        <v>159</v>
      </c>
      <c r="G102" s="26" t="s">
        <v>148</v>
      </c>
      <c r="H102" s="15"/>
      <c r="I102" s="15"/>
      <c r="J102" s="16" t="s">
        <v>194</v>
      </c>
      <c r="K102" s="16">
        <v>9</v>
      </c>
      <c r="L102" s="16" t="s">
        <v>34</v>
      </c>
      <c r="M102" s="16">
        <v>27627</v>
      </c>
      <c r="N102" s="27">
        <v>45909</v>
      </c>
      <c r="O102" s="48" cm="1">
        <f t="array" ref="O102" xml:space="preserve"> IF(AND($L102 &lt;&gt; "", $L102 &lt;&gt; "Removed"), N102 + _xlfn.IFS(_xlfn.TEXTAFTER(L102," ",1) = "Days", _xlfn.NUMBERVALUE(_xlfn.TEXTBEFORE(L102," ",1)), L102="18 Months", 547, _xlfn.TEXTAFTER(L102," ",1) = "Years", _xlfn.NUMBERVALUE(_xlfn.TEXTBEFORE(L102," ",1))*365), "")</f>
        <v>46456</v>
      </c>
      <c r="P102" s="49"/>
      <c r="Q102" s="15"/>
    </row>
    <row r="103" spans="2:17" ht="16.3" x14ac:dyDescent="0.3">
      <c r="B103" s="15" t="s">
        <v>81</v>
      </c>
      <c r="C103" s="15"/>
      <c r="D103" s="15"/>
      <c r="E103" s="15" t="s">
        <v>223</v>
      </c>
      <c r="F103" s="22" t="s">
        <v>159</v>
      </c>
      <c r="G103" s="26" t="s">
        <v>148</v>
      </c>
      <c r="H103" s="15"/>
      <c r="I103" s="15"/>
      <c r="J103" s="16" t="s">
        <v>199</v>
      </c>
      <c r="K103" s="16">
        <v>3</v>
      </c>
      <c r="L103" s="16" t="s">
        <v>34</v>
      </c>
      <c r="M103" s="16">
        <v>27627</v>
      </c>
      <c r="N103" s="27">
        <v>45909</v>
      </c>
      <c r="O103" s="48" cm="1">
        <f t="array" ref="O103" xml:space="preserve"> IF(AND($L103 &lt;&gt; "", $L103 &lt;&gt; "Removed"), N103 + _xlfn.IFS(_xlfn.TEXTAFTER(L103," ",1) = "Days", _xlfn.NUMBERVALUE(_xlfn.TEXTBEFORE(L103," ",1)), L103="18 Months", 547, _xlfn.TEXTAFTER(L103," ",1) = "Years", _xlfn.NUMBERVALUE(_xlfn.TEXTBEFORE(L103," ",1))*365), "")</f>
        <v>46456</v>
      </c>
      <c r="P103" s="49"/>
      <c r="Q103" s="15"/>
    </row>
    <row r="104" spans="2:17" ht="16.3" x14ac:dyDescent="0.3">
      <c r="B104" s="15"/>
      <c r="C104" s="15"/>
      <c r="D104" s="15"/>
      <c r="E104" s="15" t="s">
        <v>27</v>
      </c>
      <c r="F104" s="22"/>
      <c r="G104" s="26"/>
      <c r="H104" s="15"/>
      <c r="I104" s="15"/>
      <c r="J104" s="16"/>
      <c r="K104" s="16"/>
      <c r="L104" s="16" t="s">
        <v>27</v>
      </c>
      <c r="M104" s="47"/>
      <c r="N104" s="48"/>
      <c r="O104" s="48" t="str" cm="1">
        <f t="array" ref="O104" xml:space="preserve"> IF(AND($L104 &lt;&gt; "", $L104 &lt;&gt; "Removed"), N104 + _xlfn.IFS(_xlfn.TEXTAFTER(L104," ",1) = "Days", _xlfn.NUMBERVALUE(_xlfn.TEXTBEFORE(L104," ",1)), L104="18 Months", 547, _xlfn.TEXTAFTER(L104," ",1) = "Years", _xlfn.NUMBERVALUE(_xlfn.TEXTBEFORE(L104," ",1))*365), "")</f>
        <v/>
      </c>
      <c r="P104" s="49"/>
      <c r="Q104" s="49"/>
    </row>
    <row r="105" spans="2:17" ht="16.3" x14ac:dyDescent="0.3">
      <c r="B105" s="15" t="s">
        <v>81</v>
      </c>
      <c r="C105" s="15"/>
      <c r="D105" s="15"/>
      <c r="E105" s="15" t="s">
        <v>142</v>
      </c>
      <c r="F105" s="22" t="s">
        <v>182</v>
      </c>
      <c r="G105" s="26" t="s">
        <v>145</v>
      </c>
      <c r="H105" s="15"/>
      <c r="I105" s="15"/>
      <c r="J105" s="16" t="s">
        <v>195</v>
      </c>
      <c r="K105" s="16">
        <v>8</v>
      </c>
      <c r="L105" s="16" t="s">
        <v>28</v>
      </c>
      <c r="M105" s="49">
        <v>28830</v>
      </c>
      <c r="N105" s="48">
        <v>46029</v>
      </c>
      <c r="O105" s="48" cm="1">
        <f t="array" ref="O105" xml:space="preserve"> IF(AND($L105 &lt;&gt; "", $L105 &lt;&gt; "Removed"), N105 + _xlfn.IFS(_xlfn.TEXTAFTER(L105," ",1) = "Days", _xlfn.NUMBERVALUE(_xlfn.TEXTBEFORE(L105," ",1)), L105="18 Months", 547, _xlfn.TEXTAFTER(L105," ",1) = "Years", _xlfn.NUMBERVALUE(_xlfn.TEXTBEFORE(L105," ",1))*365), "")</f>
        <v>46119</v>
      </c>
      <c r="P105" s="49">
        <v>28830</v>
      </c>
      <c r="Q105" s="49"/>
    </row>
    <row r="106" spans="2:17" ht="16.3" x14ac:dyDescent="0.3">
      <c r="B106" s="15" t="s">
        <v>81</v>
      </c>
      <c r="C106" s="15"/>
      <c r="D106" s="15"/>
      <c r="E106" s="15" t="s">
        <v>142</v>
      </c>
      <c r="F106" s="22" t="s">
        <v>182</v>
      </c>
      <c r="G106" s="26" t="s">
        <v>145</v>
      </c>
      <c r="H106" s="15"/>
      <c r="I106" s="15"/>
      <c r="J106" s="16" t="s">
        <v>204</v>
      </c>
      <c r="K106" s="16">
        <v>4</v>
      </c>
      <c r="L106" s="16" t="s">
        <v>28</v>
      </c>
      <c r="M106" s="49">
        <v>28830</v>
      </c>
      <c r="N106" s="48">
        <v>46029</v>
      </c>
      <c r="O106" s="48" cm="1">
        <f t="array" ref="O106" xml:space="preserve"> IF(AND($L106 &lt;&gt; "", $L106 &lt;&gt; "Removed"), N106 + _xlfn.IFS(_xlfn.TEXTAFTER(L106," ",1) = "Days", _xlfn.NUMBERVALUE(_xlfn.TEXTBEFORE(L106," ",1)), L106="18 Months", 547, _xlfn.TEXTAFTER(L106," ",1) = "Years", _xlfn.NUMBERVALUE(_xlfn.TEXTBEFORE(L106," ",1))*365), "")</f>
        <v>46119</v>
      </c>
      <c r="P106" s="49">
        <v>28830</v>
      </c>
      <c r="Q106" s="49"/>
    </row>
    <row r="107" spans="2:17" ht="16.3" x14ac:dyDescent="0.3">
      <c r="B107" s="15" t="s">
        <v>81</v>
      </c>
      <c r="C107" s="15"/>
      <c r="D107" s="15"/>
      <c r="E107" s="15" t="s">
        <v>223</v>
      </c>
      <c r="F107" s="22" t="s">
        <v>182</v>
      </c>
      <c r="G107" s="26" t="s">
        <v>148</v>
      </c>
      <c r="H107" s="15"/>
      <c r="I107" s="15"/>
      <c r="J107" s="16" t="s">
        <v>194</v>
      </c>
      <c r="K107" s="16">
        <v>8</v>
      </c>
      <c r="L107" s="16" t="s">
        <v>34</v>
      </c>
      <c r="M107" s="47">
        <v>27627</v>
      </c>
      <c r="N107" s="48">
        <v>45909</v>
      </c>
      <c r="O107" s="48" cm="1">
        <f t="array" ref="O107" xml:space="preserve"> IF(AND($L107 &lt;&gt; "", $L107 &lt;&gt; "Removed"), N107 + _xlfn.IFS(_xlfn.TEXTAFTER(L107," ",1) = "Days", _xlfn.NUMBERVALUE(_xlfn.TEXTBEFORE(L107," ",1)), L107="18 Months", 547, _xlfn.TEXTAFTER(L107," ",1) = "Years", _xlfn.NUMBERVALUE(_xlfn.TEXTBEFORE(L107," ",1))*365), "")</f>
        <v>46456</v>
      </c>
      <c r="P107" s="49"/>
      <c r="Q107" s="49"/>
    </row>
    <row r="108" spans="2:17" ht="16.3" x14ac:dyDescent="0.3">
      <c r="B108" s="15" t="s">
        <v>81</v>
      </c>
      <c r="C108" s="15"/>
      <c r="D108" s="15"/>
      <c r="E108" s="15" t="s">
        <v>223</v>
      </c>
      <c r="F108" s="22" t="s">
        <v>182</v>
      </c>
      <c r="G108" s="26" t="s">
        <v>148</v>
      </c>
      <c r="H108" s="15"/>
      <c r="I108" s="15"/>
      <c r="J108" s="16" t="s">
        <v>199</v>
      </c>
      <c r="K108" s="16">
        <v>4</v>
      </c>
      <c r="L108" s="16" t="s">
        <v>34</v>
      </c>
      <c r="M108" s="47">
        <v>27627</v>
      </c>
      <c r="N108" s="48">
        <v>45909</v>
      </c>
      <c r="O108" s="48" cm="1">
        <f t="array" ref="O108" xml:space="preserve"> IF(AND($L108 &lt;&gt; "", $L108 &lt;&gt; "Removed"), N108 + _xlfn.IFS(_xlfn.TEXTAFTER(L108," ",1) = "Days", _xlfn.NUMBERVALUE(_xlfn.TEXTBEFORE(L108," ",1)), L108="18 Months", 547, _xlfn.TEXTAFTER(L108," ",1) = "Years", _xlfn.NUMBERVALUE(_xlfn.TEXTBEFORE(L108," ",1))*365), "")</f>
        <v>46456</v>
      </c>
      <c r="P108" s="49"/>
      <c r="Q108" s="15"/>
    </row>
    <row r="109" spans="2:17" ht="16.3" x14ac:dyDescent="0.3">
      <c r="B109" s="15"/>
      <c r="C109" s="15"/>
      <c r="D109" s="15"/>
      <c r="E109" s="15" t="s">
        <v>27</v>
      </c>
      <c r="F109" s="22"/>
      <c r="G109" s="26"/>
      <c r="H109" s="15"/>
      <c r="I109" s="15"/>
      <c r="J109" s="16"/>
      <c r="K109" s="16"/>
      <c r="L109" s="16" t="s">
        <v>27</v>
      </c>
      <c r="M109" s="47"/>
      <c r="N109" s="48"/>
      <c r="O109" s="48" t="str" cm="1">
        <f t="array" ref="O109" xml:space="preserve"> IF(AND($L109 &lt;&gt; "", $L109 &lt;&gt; "Removed"), N109 + _xlfn.IFS(_xlfn.TEXTAFTER(L109," ",1) = "Days", _xlfn.NUMBERVALUE(_xlfn.TEXTBEFORE(L109," ",1)), L109="18 Months", 547, _xlfn.TEXTAFTER(L109," ",1) = "Years", _xlfn.NUMBERVALUE(_xlfn.TEXTBEFORE(L109," ",1))*365), "")</f>
        <v/>
      </c>
      <c r="P109" s="49"/>
      <c r="Q109" s="15"/>
    </row>
    <row r="110" spans="2:17" ht="16.3" x14ac:dyDescent="0.3">
      <c r="B110" s="15" t="s">
        <v>50</v>
      </c>
      <c r="C110" s="15" t="s">
        <v>82</v>
      </c>
      <c r="D110" s="15"/>
      <c r="E110" s="15" t="s">
        <v>142</v>
      </c>
      <c r="F110" s="22" t="s">
        <v>183</v>
      </c>
      <c r="G110" s="26" t="s">
        <v>146</v>
      </c>
      <c r="H110" s="15"/>
      <c r="I110" s="15"/>
      <c r="J110" s="16" t="s">
        <v>19</v>
      </c>
      <c r="K110" s="16">
        <v>2</v>
      </c>
      <c r="L110" s="16" t="s">
        <v>28</v>
      </c>
      <c r="M110" s="49">
        <v>28830</v>
      </c>
      <c r="N110" s="48">
        <v>46029</v>
      </c>
      <c r="O110" s="48" cm="1">
        <f t="array" ref="O110" xml:space="preserve"> IF(AND($L110 &lt;&gt; "", $L110 &lt;&gt; "Removed"), N110 + _xlfn.IFS(_xlfn.TEXTAFTER(L110," ",1) = "Days", _xlfn.NUMBERVALUE(_xlfn.TEXTBEFORE(L110," ",1)), L110="18 Months", 547, _xlfn.TEXTAFTER(L110," ",1) = "Years", _xlfn.NUMBERVALUE(_xlfn.TEXTBEFORE(L110," ",1))*365), "")</f>
        <v>46119</v>
      </c>
      <c r="P110" s="49">
        <v>28830</v>
      </c>
      <c r="Q110" s="15"/>
    </row>
    <row r="111" spans="2:17" ht="16.3" x14ac:dyDescent="0.3">
      <c r="B111" s="15"/>
      <c r="C111" s="20"/>
      <c r="D111" s="20"/>
      <c r="E111" s="15" t="s">
        <v>27</v>
      </c>
      <c r="F111" s="24"/>
      <c r="G111" s="26"/>
      <c r="H111" s="15"/>
      <c r="I111" s="15"/>
      <c r="J111" s="16"/>
      <c r="K111" s="16"/>
      <c r="L111" s="16" t="s">
        <v>27</v>
      </c>
      <c r="M111" s="16"/>
      <c r="N111" s="27"/>
      <c r="O111" s="48" t="str" cm="1">
        <f t="array" ref="O111" xml:space="preserve"> IF(AND($L111 &lt;&gt; "", $L111 &lt;&gt; "Removed"), N111 + _xlfn.IFS(_xlfn.TEXTAFTER(L111," ",1) = "Days", _xlfn.NUMBERVALUE(_xlfn.TEXTBEFORE(L111," ",1)), L111="18 Months", 547, _xlfn.TEXTAFTER(L111," ",1) = "Years", _xlfn.NUMBERVALUE(_xlfn.TEXTBEFORE(L111," ",1))*365), "")</f>
        <v/>
      </c>
      <c r="P111" s="49"/>
      <c r="Q111" s="15"/>
    </row>
    <row r="112" spans="2:17" ht="16.3" x14ac:dyDescent="0.3">
      <c r="B112" s="15" t="s">
        <v>81</v>
      </c>
      <c r="C112" s="15" t="s">
        <v>218</v>
      </c>
      <c r="D112" s="15"/>
      <c r="E112" s="15" t="s">
        <v>142</v>
      </c>
      <c r="F112" s="22" t="s">
        <v>170</v>
      </c>
      <c r="G112" s="26" t="s">
        <v>145</v>
      </c>
      <c r="H112" s="15"/>
      <c r="I112" s="15"/>
      <c r="J112" s="16" t="s">
        <v>195</v>
      </c>
      <c r="K112" s="16">
        <v>2</v>
      </c>
      <c r="L112" s="16" t="s">
        <v>28</v>
      </c>
      <c r="M112" s="49">
        <v>28830</v>
      </c>
      <c r="N112" s="48">
        <v>46029</v>
      </c>
      <c r="O112" s="48" cm="1">
        <f t="array" ref="O112" xml:space="preserve"> IF(AND($L112 &lt;&gt; "", $L112 &lt;&gt; "Removed"), N112 + _xlfn.IFS(_xlfn.TEXTAFTER(L112," ",1) = "Days", _xlfn.NUMBERVALUE(_xlfn.TEXTBEFORE(L112," ",1)), L112="18 Months", 547, _xlfn.TEXTAFTER(L112," ",1) = "Years", _xlfn.NUMBERVALUE(_xlfn.TEXTBEFORE(L112," ",1))*365), "")</f>
        <v>46119</v>
      </c>
      <c r="P112" s="49">
        <v>28830</v>
      </c>
      <c r="Q112" s="15"/>
    </row>
    <row r="113" spans="2:17" ht="16.3" x14ac:dyDescent="0.3">
      <c r="B113" s="15" t="s">
        <v>81</v>
      </c>
      <c r="C113" s="15" t="s">
        <v>218</v>
      </c>
      <c r="D113" s="20"/>
      <c r="E113" s="15" t="s">
        <v>223</v>
      </c>
      <c r="F113" s="22" t="s">
        <v>170</v>
      </c>
      <c r="G113" s="26" t="s">
        <v>148</v>
      </c>
      <c r="H113" s="15"/>
      <c r="I113" s="15"/>
      <c r="J113" s="16" t="s">
        <v>13</v>
      </c>
      <c r="K113" s="16">
        <v>2</v>
      </c>
      <c r="L113" s="16" t="s">
        <v>34</v>
      </c>
      <c r="M113" s="16">
        <v>27627</v>
      </c>
      <c r="N113" s="27">
        <v>45909</v>
      </c>
      <c r="O113" s="48" cm="1">
        <f t="array" ref="O113" xml:space="preserve"> IF(AND($L113 &lt;&gt; "", $L113 &lt;&gt; "Removed"), N113 + _xlfn.IFS(_xlfn.TEXTAFTER(L113," ",1) = "Days", _xlfn.NUMBERVALUE(_xlfn.TEXTBEFORE(L113," ",1)), L113="18 Months", 547, _xlfn.TEXTAFTER(L113," ",1) = "Years", _xlfn.NUMBERVALUE(_xlfn.TEXTBEFORE(L113," ",1))*365), "")</f>
        <v>46456</v>
      </c>
      <c r="P113" s="49"/>
      <c r="Q113" s="15"/>
    </row>
    <row r="114" spans="2:17" ht="16.3" x14ac:dyDescent="0.3">
      <c r="B114" s="15"/>
      <c r="C114" s="15"/>
      <c r="D114" s="15"/>
      <c r="E114" s="15" t="s">
        <v>27</v>
      </c>
      <c r="F114" s="25"/>
      <c r="G114" s="26"/>
      <c r="H114" s="15"/>
      <c r="I114" s="15"/>
      <c r="J114" s="16"/>
      <c r="K114" s="16"/>
      <c r="L114" s="16" t="s">
        <v>27</v>
      </c>
      <c r="M114" s="16"/>
      <c r="N114" s="27"/>
      <c r="O114" s="48" t="str" cm="1">
        <f t="array" ref="O114" xml:space="preserve"> IF(AND($L114 &lt;&gt; "", $L114 &lt;&gt; "Removed"), N114 + _xlfn.IFS(_xlfn.TEXTAFTER(L114," ",1) = "Days", _xlfn.NUMBERVALUE(_xlfn.TEXTBEFORE(L114," ",1)), L114="18 Months", 547, _xlfn.TEXTAFTER(L114," ",1) = "Years", _xlfn.NUMBERVALUE(_xlfn.TEXTBEFORE(L114," ",1))*365), "")</f>
        <v/>
      </c>
      <c r="P114" s="49"/>
      <c r="Q114" s="15"/>
    </row>
    <row r="115" spans="2:17" ht="16.3" x14ac:dyDescent="0.3">
      <c r="B115" s="15" t="s">
        <v>50</v>
      </c>
      <c r="C115" s="15" t="s">
        <v>83</v>
      </c>
      <c r="D115" s="15"/>
      <c r="E115" s="15" t="s">
        <v>142</v>
      </c>
      <c r="F115" s="22" t="s">
        <v>184</v>
      </c>
      <c r="G115" s="26" t="s">
        <v>146</v>
      </c>
      <c r="H115" s="15"/>
      <c r="I115" s="15"/>
      <c r="J115" s="16" t="s">
        <v>21</v>
      </c>
      <c r="K115" s="16">
        <v>1</v>
      </c>
      <c r="L115" s="16" t="s">
        <v>28</v>
      </c>
      <c r="M115" s="49">
        <v>28830</v>
      </c>
      <c r="N115" s="48">
        <v>46029</v>
      </c>
      <c r="O115" s="48" cm="1">
        <f t="array" ref="O115" xml:space="preserve"> IF(AND($L115 &lt;&gt; "", $L115 &lt;&gt; "Removed"), N115 + _xlfn.IFS(_xlfn.TEXTAFTER(L115," ",1) = "Days", _xlfn.NUMBERVALUE(_xlfn.TEXTBEFORE(L115," ",1)), L115="18 Months", 547, _xlfn.TEXTAFTER(L115," ",1) = "Years", _xlfn.NUMBERVALUE(_xlfn.TEXTBEFORE(L115," ",1))*365), "")</f>
        <v>46119</v>
      </c>
      <c r="P115" s="49">
        <v>28830</v>
      </c>
      <c r="Q115" s="15"/>
    </row>
    <row r="116" spans="2:17" ht="16.3" x14ac:dyDescent="0.3">
      <c r="B116" s="15" t="s">
        <v>50</v>
      </c>
      <c r="C116" s="15" t="s">
        <v>83</v>
      </c>
      <c r="D116" s="15"/>
      <c r="E116" s="15" t="s">
        <v>142</v>
      </c>
      <c r="F116" s="22" t="s">
        <v>184</v>
      </c>
      <c r="G116" s="26" t="s">
        <v>146</v>
      </c>
      <c r="H116" s="15"/>
      <c r="I116" s="15"/>
      <c r="J116" s="16" t="s">
        <v>19</v>
      </c>
      <c r="K116" s="16">
        <v>1</v>
      </c>
      <c r="L116" s="16" t="s">
        <v>28</v>
      </c>
      <c r="M116" s="49">
        <v>28830</v>
      </c>
      <c r="N116" s="48">
        <v>46029</v>
      </c>
      <c r="O116" s="48" cm="1">
        <f t="array" ref="O116" xml:space="preserve"> IF(AND($L116 &lt;&gt; "", $L116 &lt;&gt; "Removed"), N116 + _xlfn.IFS(_xlfn.TEXTAFTER(L116," ",1) = "Days", _xlfn.NUMBERVALUE(_xlfn.TEXTBEFORE(L116," ",1)), L116="18 Months", 547, _xlfn.TEXTAFTER(L116," ",1) = "Years", _xlfn.NUMBERVALUE(_xlfn.TEXTBEFORE(L116," ",1))*365), "")</f>
        <v>46119</v>
      </c>
      <c r="P116" s="49">
        <v>28830</v>
      </c>
      <c r="Q116" s="15"/>
    </row>
    <row r="117" spans="2:17" ht="16.3" x14ac:dyDescent="0.3">
      <c r="B117" s="15"/>
      <c r="C117" s="15"/>
      <c r="D117" s="15"/>
      <c r="E117" s="15" t="s">
        <v>27</v>
      </c>
      <c r="F117" s="22"/>
      <c r="G117" s="26"/>
      <c r="H117" s="15"/>
      <c r="I117" s="15"/>
      <c r="J117" s="16"/>
      <c r="K117" s="16"/>
      <c r="L117" s="16" t="s">
        <v>27</v>
      </c>
      <c r="M117" s="16"/>
      <c r="N117" s="27"/>
      <c r="O117" s="48" t="str" cm="1">
        <f t="array" ref="O117" xml:space="preserve"> IF(AND($L117 &lt;&gt; "", $L117 &lt;&gt; "Removed"), N117 + _xlfn.IFS(_xlfn.TEXTAFTER(L117," ",1) = "Days", _xlfn.NUMBERVALUE(_xlfn.TEXTBEFORE(L117," ",1)), L117="18 Months", 547, _xlfn.TEXTAFTER(L117," ",1) = "Years", _xlfn.NUMBERVALUE(_xlfn.TEXTBEFORE(L117," ",1))*365), "")</f>
        <v/>
      </c>
      <c r="P117" s="49"/>
      <c r="Q117" s="15"/>
    </row>
    <row r="118" spans="2:17" ht="16.3" x14ac:dyDescent="0.3">
      <c r="B118" s="15" t="s">
        <v>50</v>
      </c>
      <c r="C118" s="15" t="s">
        <v>83</v>
      </c>
      <c r="D118" s="15"/>
      <c r="E118" s="15" t="s">
        <v>142</v>
      </c>
      <c r="F118" s="22" t="s">
        <v>185</v>
      </c>
      <c r="G118" s="26" t="s">
        <v>146</v>
      </c>
      <c r="H118" s="15"/>
      <c r="I118" s="15"/>
      <c r="J118" s="16" t="s">
        <v>205</v>
      </c>
      <c r="K118" s="16">
        <v>1</v>
      </c>
      <c r="L118" s="16" t="s">
        <v>28</v>
      </c>
      <c r="M118" s="49">
        <v>28830</v>
      </c>
      <c r="N118" s="48">
        <v>46029</v>
      </c>
      <c r="O118" s="48" cm="1">
        <f t="array" ref="O118" xml:space="preserve"> IF(AND($L118 &lt;&gt; "", $L118 &lt;&gt; "Removed"), N118 + _xlfn.IFS(_xlfn.TEXTAFTER(L118," ",1) = "Days", _xlfn.NUMBERVALUE(_xlfn.TEXTBEFORE(L118," ",1)), L118="18 Months", 547, _xlfn.TEXTAFTER(L118," ",1) = "Years", _xlfn.NUMBERVALUE(_xlfn.TEXTBEFORE(L118," ",1))*365), "")</f>
        <v>46119</v>
      </c>
      <c r="P118" s="49">
        <v>28830</v>
      </c>
      <c r="Q118" s="15"/>
    </row>
    <row r="119" spans="2:17" ht="16.3" x14ac:dyDescent="0.3">
      <c r="B119" s="15"/>
      <c r="C119" s="15"/>
      <c r="D119" s="15"/>
      <c r="E119" s="15" t="s">
        <v>27</v>
      </c>
      <c r="F119" s="22"/>
      <c r="G119" s="26"/>
      <c r="H119" s="15"/>
      <c r="I119" s="15"/>
      <c r="J119" s="16"/>
      <c r="K119" s="16"/>
      <c r="L119" s="16" t="s">
        <v>27</v>
      </c>
      <c r="M119" s="16"/>
      <c r="N119" s="27"/>
      <c r="O119" s="48" t="str" cm="1">
        <f t="array" ref="O119" xml:space="preserve"> IF(AND($L119 &lt;&gt; "", $L119 &lt;&gt; "Removed"), N119 + _xlfn.IFS(_xlfn.TEXTAFTER(L119," ",1) = "Days", _xlfn.NUMBERVALUE(_xlfn.TEXTBEFORE(L119," ",1)), L119="18 Months", 547, _xlfn.TEXTAFTER(L119," ",1) = "Years", _xlfn.NUMBERVALUE(_xlfn.TEXTBEFORE(L119," ",1))*365), "")</f>
        <v/>
      </c>
      <c r="P119" s="49"/>
      <c r="Q119" s="15"/>
    </row>
    <row r="120" spans="2:17" ht="16.3" x14ac:dyDescent="0.3">
      <c r="B120" s="15" t="s">
        <v>50</v>
      </c>
      <c r="C120" s="15" t="s">
        <v>84</v>
      </c>
      <c r="D120" s="15"/>
      <c r="E120" s="15" t="s">
        <v>142</v>
      </c>
      <c r="F120" s="22" t="s">
        <v>186</v>
      </c>
      <c r="G120" s="26" t="s">
        <v>146</v>
      </c>
      <c r="H120" s="15"/>
      <c r="I120" s="15"/>
      <c r="J120" s="16" t="s">
        <v>206</v>
      </c>
      <c r="K120" s="16">
        <v>1</v>
      </c>
      <c r="L120" s="16" t="s">
        <v>33</v>
      </c>
      <c r="M120" s="16">
        <v>19197</v>
      </c>
      <c r="N120" s="27">
        <v>44574</v>
      </c>
      <c r="O120" s="48" t="str" cm="1">
        <f t="array" ref="O120" xml:space="preserve"> IF(AND($L120 &lt;&gt; "", $L120 &lt;&gt; "Removed"), N120 + _xlfn.IFS(_xlfn.TEXTAFTER(L120," ",1) = "Days", _xlfn.NUMBERVALUE(_xlfn.TEXTBEFORE(L120," ",1)), L120="18 Months", 547, _xlfn.TEXTAFTER(L120," ",1) = "Years", _xlfn.NUMBERVALUE(_xlfn.TEXTBEFORE(L120," ",1))*365), "")</f>
        <v/>
      </c>
      <c r="P120" s="49"/>
      <c r="Q120" s="15"/>
    </row>
    <row r="121" spans="2:17" ht="16.3" x14ac:dyDescent="0.3">
      <c r="B121" s="15" t="s">
        <v>50</v>
      </c>
      <c r="C121" s="15" t="s">
        <v>84</v>
      </c>
      <c r="D121" s="15"/>
      <c r="E121" s="15" t="s">
        <v>142</v>
      </c>
      <c r="F121" s="22" t="s">
        <v>187</v>
      </c>
      <c r="G121" s="26" t="s">
        <v>146</v>
      </c>
      <c r="H121" s="15"/>
      <c r="I121" s="15"/>
      <c r="J121" s="16" t="s">
        <v>206</v>
      </c>
      <c r="K121" s="16">
        <v>1</v>
      </c>
      <c r="L121" s="16" t="s">
        <v>33</v>
      </c>
      <c r="M121" s="16">
        <v>19197</v>
      </c>
      <c r="N121" s="27">
        <v>44574</v>
      </c>
      <c r="O121" s="48" t="str" cm="1">
        <f t="array" ref="O121" xml:space="preserve"> IF(AND($L121 &lt;&gt; "", $L121 &lt;&gt; "Removed"), N121 + _xlfn.IFS(_xlfn.TEXTAFTER(L121," ",1) = "Days", _xlfn.NUMBERVALUE(_xlfn.TEXTBEFORE(L121," ",1)), L121="18 Months", 547, _xlfn.TEXTAFTER(L121," ",1) = "Years", _xlfn.NUMBERVALUE(_xlfn.TEXTBEFORE(L121," ",1))*365), "")</f>
        <v/>
      </c>
      <c r="P121" s="49"/>
      <c r="Q121" s="15"/>
    </row>
    <row r="122" spans="2:17" ht="16.3" x14ac:dyDescent="0.3">
      <c r="B122" s="15" t="s">
        <v>50</v>
      </c>
      <c r="C122" s="15" t="s">
        <v>84</v>
      </c>
      <c r="D122" s="15"/>
      <c r="E122" s="15" t="s">
        <v>142</v>
      </c>
      <c r="F122" s="22" t="s">
        <v>188</v>
      </c>
      <c r="G122" s="26" t="s">
        <v>146</v>
      </c>
      <c r="H122" s="15"/>
      <c r="I122" s="15"/>
      <c r="J122" s="16" t="s">
        <v>206</v>
      </c>
      <c r="K122" s="16">
        <v>1</v>
      </c>
      <c r="L122" s="16" t="s">
        <v>33</v>
      </c>
      <c r="M122" s="16">
        <v>19197</v>
      </c>
      <c r="N122" s="27">
        <v>44574</v>
      </c>
      <c r="O122" s="48" t="str" cm="1">
        <f t="array" ref="O122" xml:space="preserve"> IF(AND($L122 &lt;&gt; "", $L122 &lt;&gt; "Removed"), N122 + _xlfn.IFS(_xlfn.TEXTAFTER(L122," ",1) = "Days", _xlfn.NUMBERVALUE(_xlfn.TEXTBEFORE(L122," ",1)), L122="18 Months", 547, _xlfn.TEXTAFTER(L122," ",1) = "Years", _xlfn.NUMBERVALUE(_xlfn.TEXTBEFORE(L122," ",1))*365), "")</f>
        <v/>
      </c>
      <c r="P122" s="49"/>
      <c r="Q122" s="15"/>
    </row>
    <row r="123" spans="2:17" ht="16.3" x14ac:dyDescent="0.3">
      <c r="B123" s="15" t="s">
        <v>50</v>
      </c>
      <c r="C123" s="15" t="s">
        <v>84</v>
      </c>
      <c r="D123" s="15"/>
      <c r="E123" s="15" t="s">
        <v>142</v>
      </c>
      <c r="F123" s="22" t="s">
        <v>189</v>
      </c>
      <c r="G123" s="26" t="s">
        <v>146</v>
      </c>
      <c r="H123" s="15"/>
      <c r="I123" s="15"/>
      <c r="J123" s="16" t="s">
        <v>206</v>
      </c>
      <c r="K123" s="16">
        <v>1</v>
      </c>
      <c r="L123" s="16" t="s">
        <v>33</v>
      </c>
      <c r="M123" s="16">
        <v>19197</v>
      </c>
      <c r="N123" s="27">
        <v>44574</v>
      </c>
      <c r="O123" s="48" t="str" cm="1">
        <f t="array" ref="O123" xml:space="preserve"> IF(AND($L123 &lt;&gt; "", $L123 &lt;&gt; "Removed"), N123 + _xlfn.IFS(_xlfn.TEXTAFTER(L123," ",1) = "Days", _xlfn.NUMBERVALUE(_xlfn.TEXTBEFORE(L123," ",1)), L123="18 Months", 547, _xlfn.TEXTAFTER(L123," ",1) = "Years", _xlfn.NUMBERVALUE(_xlfn.TEXTBEFORE(L123," ",1))*365), "")</f>
        <v/>
      </c>
      <c r="P123" s="49"/>
      <c r="Q123" s="15"/>
    </row>
    <row r="124" spans="2:17" ht="16.3" x14ac:dyDescent="0.3">
      <c r="B124" s="15" t="s">
        <v>50</v>
      </c>
      <c r="C124" s="15" t="s">
        <v>84</v>
      </c>
      <c r="D124" s="15"/>
      <c r="E124" s="15" t="s">
        <v>142</v>
      </c>
      <c r="F124" s="22" t="s">
        <v>190</v>
      </c>
      <c r="G124" s="26" t="s">
        <v>146</v>
      </c>
      <c r="H124" s="15"/>
      <c r="I124" s="15"/>
      <c r="J124" s="16" t="s">
        <v>206</v>
      </c>
      <c r="K124" s="16">
        <v>1</v>
      </c>
      <c r="L124" s="16" t="s">
        <v>33</v>
      </c>
      <c r="M124" s="16">
        <v>19197</v>
      </c>
      <c r="N124" s="27">
        <v>44574</v>
      </c>
      <c r="O124" s="48" t="str" cm="1">
        <f t="array" ref="O124" xml:space="preserve"> IF(AND($L124 &lt;&gt; "", $L124 &lt;&gt; "Removed"), N124 + _xlfn.IFS(_xlfn.TEXTAFTER(L124," ",1) = "Days", _xlfn.NUMBERVALUE(_xlfn.TEXTBEFORE(L124," ",1)), L124="18 Months", 547, _xlfn.TEXTAFTER(L124," ",1) = "Years", _xlfn.NUMBERVALUE(_xlfn.TEXTBEFORE(L124," ",1))*365), "")</f>
        <v/>
      </c>
      <c r="P124" s="49"/>
      <c r="Q124" s="15"/>
    </row>
    <row r="125" spans="2:17" ht="16.3" x14ac:dyDescent="0.3">
      <c r="B125" s="15"/>
      <c r="C125" s="15"/>
      <c r="D125" s="15"/>
      <c r="E125" s="15" t="s">
        <v>27</v>
      </c>
      <c r="F125" s="22"/>
      <c r="G125" s="26"/>
      <c r="H125" s="15"/>
      <c r="I125" s="15"/>
      <c r="J125" s="16"/>
      <c r="K125" s="16"/>
      <c r="L125" s="16" t="s">
        <v>27</v>
      </c>
      <c r="M125" s="16"/>
      <c r="N125" s="27"/>
      <c r="O125" s="48" t="str" cm="1">
        <f t="array" ref="O125" xml:space="preserve"> IF(AND($L125 &lt;&gt; "", $L125 &lt;&gt; "Removed"), N125 + _xlfn.IFS(_xlfn.TEXTAFTER(L125," ",1) = "Days", _xlfn.NUMBERVALUE(_xlfn.TEXTBEFORE(L125," ",1)), L125="18 Months", 547, _xlfn.TEXTAFTER(L125," ",1) = "Years", _xlfn.NUMBERVALUE(_xlfn.TEXTBEFORE(L125," ",1))*365), "")</f>
        <v/>
      </c>
      <c r="P125" s="49"/>
      <c r="Q125" s="15"/>
    </row>
    <row r="126" spans="2:17" ht="16.3" x14ac:dyDescent="0.3">
      <c r="B126" s="15" t="s">
        <v>50</v>
      </c>
      <c r="C126" s="15" t="s">
        <v>85</v>
      </c>
      <c r="D126" s="15"/>
      <c r="E126" s="15" t="s">
        <v>142</v>
      </c>
      <c r="F126" s="22"/>
      <c r="G126" s="26" t="s">
        <v>146</v>
      </c>
      <c r="H126" s="15"/>
      <c r="I126" s="15"/>
      <c r="J126" s="16" t="s">
        <v>20</v>
      </c>
      <c r="K126" s="16">
        <v>1</v>
      </c>
      <c r="L126" s="16" t="s">
        <v>28</v>
      </c>
      <c r="M126" s="49">
        <v>28830</v>
      </c>
      <c r="N126" s="48">
        <v>46029</v>
      </c>
      <c r="O126" s="48" cm="1">
        <f t="array" ref="O126" xml:space="preserve"> IF(AND($L126 &lt;&gt; "", $L126 &lt;&gt; "Removed"), N126 + _xlfn.IFS(_xlfn.TEXTAFTER(L126," ",1) = "Days", _xlfn.NUMBERVALUE(_xlfn.TEXTBEFORE(L126," ",1)), L126="18 Months", 547, _xlfn.TEXTAFTER(L126," ",1) = "Years", _xlfn.NUMBERVALUE(_xlfn.TEXTBEFORE(L126," ",1))*365), "")</f>
        <v>46119</v>
      </c>
      <c r="P126" s="49">
        <v>28830</v>
      </c>
      <c r="Q126" s="15"/>
    </row>
    <row r="127" spans="2:17" ht="16.3" x14ac:dyDescent="0.3">
      <c r="B127" s="15" t="s">
        <v>50</v>
      </c>
      <c r="C127" s="15" t="s">
        <v>85</v>
      </c>
      <c r="D127" s="15"/>
      <c r="E127" s="15" t="s">
        <v>142</v>
      </c>
      <c r="F127" s="22"/>
      <c r="G127" s="26" t="s">
        <v>146</v>
      </c>
      <c r="H127" s="15"/>
      <c r="I127" s="15"/>
      <c r="J127" s="16" t="s">
        <v>18</v>
      </c>
      <c r="K127" s="16">
        <v>1</v>
      </c>
      <c r="L127" s="16" t="s">
        <v>28</v>
      </c>
      <c r="M127" s="49">
        <v>28830</v>
      </c>
      <c r="N127" s="48">
        <v>46029</v>
      </c>
      <c r="O127" s="48" cm="1">
        <f t="array" ref="O127" xml:space="preserve"> IF(AND($L127 &lt;&gt; "", $L127 &lt;&gt; "Removed"), N127 + _xlfn.IFS(_xlfn.TEXTAFTER(L127," ",1) = "Days", _xlfn.NUMBERVALUE(_xlfn.TEXTBEFORE(L127," ",1)), L127="18 Months", 547, _xlfn.TEXTAFTER(L127," ",1) = "Years", _xlfn.NUMBERVALUE(_xlfn.TEXTBEFORE(L127," ",1))*365), "")</f>
        <v>46119</v>
      </c>
      <c r="P127" s="49">
        <v>28830</v>
      </c>
      <c r="Q127" s="15"/>
    </row>
    <row r="128" spans="2:17" ht="16.3" x14ac:dyDescent="0.3">
      <c r="B128" s="15"/>
      <c r="C128" s="15"/>
      <c r="D128" s="15"/>
      <c r="E128" s="15" t="s">
        <v>27</v>
      </c>
      <c r="F128" s="22"/>
      <c r="G128" s="26"/>
      <c r="H128" s="15"/>
      <c r="I128" s="15"/>
      <c r="J128" s="16"/>
      <c r="K128" s="16"/>
      <c r="L128" s="16" t="s">
        <v>27</v>
      </c>
      <c r="M128" s="16"/>
      <c r="N128" s="27"/>
      <c r="O128" s="48" t="str" cm="1">
        <f t="array" ref="O128" xml:space="preserve"> IF(AND($L128 &lt;&gt; "", $L128 &lt;&gt; "Removed"), N128 + _xlfn.IFS(_xlfn.TEXTAFTER(L128," ",1) = "Days", _xlfn.NUMBERVALUE(_xlfn.TEXTBEFORE(L128," ",1)), L128="18 Months", 547, _xlfn.TEXTAFTER(L128," ",1) = "Years", _xlfn.NUMBERVALUE(_xlfn.TEXTBEFORE(L128," ",1))*365), "")</f>
        <v/>
      </c>
      <c r="P128" s="49"/>
      <c r="Q128" s="15"/>
    </row>
    <row r="129" spans="2:17" ht="16.3" x14ac:dyDescent="0.3">
      <c r="B129" s="15" t="s">
        <v>50</v>
      </c>
      <c r="C129" s="15" t="s">
        <v>86</v>
      </c>
      <c r="D129" s="15"/>
      <c r="E129" s="15" t="s">
        <v>142</v>
      </c>
      <c r="F129" s="22"/>
      <c r="G129" s="26" t="s">
        <v>146</v>
      </c>
      <c r="H129" s="15"/>
      <c r="I129" s="15"/>
      <c r="J129" s="16" t="s">
        <v>207</v>
      </c>
      <c r="K129" s="16">
        <v>4</v>
      </c>
      <c r="L129" s="16" t="s">
        <v>28</v>
      </c>
      <c r="M129" s="49">
        <v>28830</v>
      </c>
      <c r="N129" s="48">
        <v>46029</v>
      </c>
      <c r="O129" s="48" cm="1">
        <f t="array" ref="O129" xml:space="preserve"> IF(AND($L129 &lt;&gt; "", $L129 &lt;&gt; "Removed"), N129 + _xlfn.IFS(_xlfn.TEXTAFTER(L129," ",1) = "Days", _xlfn.NUMBERVALUE(_xlfn.TEXTBEFORE(L129," ",1)), L129="18 Months", 547, _xlfn.TEXTAFTER(L129," ",1) = "Years", _xlfn.NUMBERVALUE(_xlfn.TEXTBEFORE(L129," ",1))*365), "")</f>
        <v>46119</v>
      </c>
      <c r="P129" s="49">
        <v>28830</v>
      </c>
      <c r="Q129" s="15"/>
    </row>
    <row r="130" spans="2:17" ht="16.3" x14ac:dyDescent="0.3">
      <c r="B130" s="15" t="s">
        <v>50</v>
      </c>
      <c r="C130" s="15" t="s">
        <v>86</v>
      </c>
      <c r="D130" s="15"/>
      <c r="E130" s="15" t="s">
        <v>223</v>
      </c>
      <c r="F130" s="22"/>
      <c r="G130" s="26" t="s">
        <v>147</v>
      </c>
      <c r="H130" s="15"/>
      <c r="I130" s="15"/>
      <c r="J130" s="16" t="s">
        <v>13</v>
      </c>
      <c r="K130" s="16">
        <v>1</v>
      </c>
      <c r="L130" s="16" t="s">
        <v>34</v>
      </c>
      <c r="M130" s="16">
        <v>27249</v>
      </c>
      <c r="N130" s="27">
        <v>45840</v>
      </c>
      <c r="O130" s="48" cm="1">
        <f t="array" ref="O130" xml:space="preserve"> IF(AND($L130 &lt;&gt; "", $L130 &lt;&gt; "Removed"), N130 + _xlfn.IFS(_xlfn.TEXTAFTER(L130," ",1) = "Days", _xlfn.NUMBERVALUE(_xlfn.TEXTBEFORE(L130," ",1)), L130="18 Months", 547, _xlfn.TEXTAFTER(L130," ",1) = "Years", _xlfn.NUMBERVALUE(_xlfn.TEXTBEFORE(L130," ",1))*365), "")</f>
        <v>46387</v>
      </c>
      <c r="P130" s="49"/>
      <c r="Q130" s="15"/>
    </row>
    <row r="131" spans="2:17" ht="16.3" x14ac:dyDescent="0.3">
      <c r="B131" s="15"/>
      <c r="C131" s="15"/>
      <c r="D131" s="15"/>
      <c r="E131" s="15" t="s">
        <v>27</v>
      </c>
      <c r="F131" s="22"/>
      <c r="G131" s="26"/>
      <c r="H131" s="15"/>
      <c r="I131" s="15"/>
      <c r="J131" s="16"/>
      <c r="K131" s="16"/>
      <c r="L131" s="16" t="s">
        <v>27</v>
      </c>
      <c r="M131" s="16"/>
      <c r="N131" s="27"/>
      <c r="O131" s="48" t="str" cm="1">
        <f t="array" ref="O131" xml:space="preserve"> IF(AND($L131 &lt;&gt; "", $L131 &lt;&gt; "Removed"), N131 + _xlfn.IFS(_xlfn.TEXTAFTER(L131," ",1) = "Days", _xlfn.NUMBERVALUE(_xlfn.TEXTBEFORE(L131," ",1)), L131="18 Months", 547, _xlfn.TEXTAFTER(L131," ",1) = "Years", _xlfn.NUMBERVALUE(_xlfn.TEXTBEFORE(L131," ",1))*365), "")</f>
        <v/>
      </c>
      <c r="P131" s="49"/>
      <c r="Q131" s="15"/>
    </row>
    <row r="132" spans="2:17" ht="16.3" x14ac:dyDescent="0.3">
      <c r="B132" s="15" t="s">
        <v>50</v>
      </c>
      <c r="C132" s="15" t="s">
        <v>87</v>
      </c>
      <c r="D132" s="15"/>
      <c r="E132" s="15" t="s">
        <v>142</v>
      </c>
      <c r="F132" s="22"/>
      <c r="G132" s="26" t="s">
        <v>146</v>
      </c>
      <c r="H132" s="15"/>
      <c r="I132" s="15"/>
      <c r="J132" s="16" t="s">
        <v>234</v>
      </c>
      <c r="K132" s="16">
        <v>12</v>
      </c>
      <c r="L132" s="16" t="s">
        <v>28</v>
      </c>
      <c r="M132" s="49">
        <v>28830</v>
      </c>
      <c r="N132" s="48">
        <v>46029</v>
      </c>
      <c r="O132" s="48" cm="1">
        <f t="array" ref="O132" xml:space="preserve"> IF(AND($L132 &lt;&gt; "", $L132 &lt;&gt; "Removed"), N132 + _xlfn.IFS(_xlfn.TEXTAFTER(L132," ",1) = "Days", _xlfn.NUMBERVALUE(_xlfn.TEXTBEFORE(L132," ",1)), L132="18 Months", 547, _xlfn.TEXTAFTER(L132," ",1) = "Years", _xlfn.NUMBERVALUE(_xlfn.TEXTBEFORE(L132," ",1))*365), "")</f>
        <v>46119</v>
      </c>
      <c r="P132" s="49">
        <v>28830</v>
      </c>
      <c r="Q132" s="15" t="s">
        <v>235</v>
      </c>
    </row>
    <row r="133" spans="2:17" ht="16.3" x14ac:dyDescent="0.3">
      <c r="B133" s="15"/>
      <c r="C133" s="15"/>
      <c r="D133" s="15"/>
      <c r="E133" s="15" t="s">
        <v>27</v>
      </c>
      <c r="F133" s="22"/>
      <c r="G133" s="26"/>
      <c r="H133" s="15"/>
      <c r="I133" s="15"/>
      <c r="J133" s="16"/>
      <c r="K133" s="16"/>
      <c r="L133" s="16" t="s">
        <v>27</v>
      </c>
      <c r="M133" s="16"/>
      <c r="N133" s="27"/>
      <c r="O133" s="48" t="str" cm="1">
        <f t="array" ref="O133" xml:space="preserve"> IF(AND($L133 &lt;&gt; "", $L133 &lt;&gt; "Removed"), N133 + _xlfn.IFS(_xlfn.TEXTAFTER(L133," ",1) = "Days", _xlfn.NUMBERVALUE(_xlfn.TEXTBEFORE(L133," ",1)), L133="18 Months", 547, _xlfn.TEXTAFTER(L133," ",1) = "Years", _xlfn.NUMBERVALUE(_xlfn.TEXTBEFORE(L133," ",1))*365), "")</f>
        <v/>
      </c>
      <c r="P133" s="49"/>
      <c r="Q133" s="15"/>
    </row>
    <row r="134" spans="2:17" ht="16.3" x14ac:dyDescent="0.3">
      <c r="B134" s="15" t="s">
        <v>51</v>
      </c>
      <c r="C134" s="15" t="s">
        <v>88</v>
      </c>
      <c r="D134" s="15"/>
      <c r="E134" s="15" t="s">
        <v>142</v>
      </c>
      <c r="F134" s="22"/>
      <c r="G134" s="26" t="s">
        <v>146</v>
      </c>
      <c r="H134" s="15"/>
      <c r="I134" s="15"/>
      <c r="J134" s="16" t="s">
        <v>19</v>
      </c>
      <c r="K134" s="16">
        <v>2</v>
      </c>
      <c r="L134" s="16" t="s">
        <v>28</v>
      </c>
      <c r="M134" s="49">
        <v>28830</v>
      </c>
      <c r="N134" s="48">
        <v>46029</v>
      </c>
      <c r="O134" s="48" cm="1">
        <f t="array" ref="O134" xml:space="preserve"> IF(AND($L134 &lt;&gt; "", $L134 &lt;&gt; "Removed"), N134 + _xlfn.IFS(_xlfn.TEXTAFTER(L134," ",1) = "Days", _xlfn.NUMBERVALUE(_xlfn.TEXTBEFORE(L134," ",1)), L134="18 Months", 547, _xlfn.TEXTAFTER(L134," ",1) = "Years", _xlfn.NUMBERVALUE(_xlfn.TEXTBEFORE(L134," ",1))*365), "")</f>
        <v>46119</v>
      </c>
      <c r="P134" s="49">
        <v>28830</v>
      </c>
      <c r="Q134" s="15"/>
    </row>
    <row r="135" spans="2:17" ht="16.3" x14ac:dyDescent="0.3">
      <c r="B135" s="15"/>
      <c r="C135" s="15"/>
      <c r="D135" s="15"/>
      <c r="E135" s="15" t="s">
        <v>27</v>
      </c>
      <c r="F135" s="22"/>
      <c r="G135" s="26"/>
      <c r="H135" s="15"/>
      <c r="I135" s="15"/>
      <c r="J135" s="16"/>
      <c r="K135" s="16"/>
      <c r="L135" s="16" t="s">
        <v>27</v>
      </c>
      <c r="M135" s="16"/>
      <c r="N135" s="27"/>
      <c r="O135" s="48" t="str" cm="1">
        <f t="array" ref="O135" xml:space="preserve"> IF(AND($L135 &lt;&gt; "", $L135 &lt;&gt; "Removed"), N135 + _xlfn.IFS(_xlfn.TEXTAFTER(L135," ",1) = "Days", _xlfn.NUMBERVALUE(_xlfn.TEXTBEFORE(L135," ",1)), L135="18 Months", 547, _xlfn.TEXTAFTER(L135," ",1) = "Years", _xlfn.NUMBERVALUE(_xlfn.TEXTBEFORE(L135," ",1))*365), "")</f>
        <v/>
      </c>
      <c r="P135" s="49"/>
      <c r="Q135" s="15"/>
    </row>
    <row r="136" spans="2:17" ht="16.3" x14ac:dyDescent="0.3">
      <c r="B136" s="15" t="s">
        <v>50</v>
      </c>
      <c r="C136" s="15" t="s">
        <v>89</v>
      </c>
      <c r="D136" s="15"/>
      <c r="E136" s="15" t="s">
        <v>142</v>
      </c>
      <c r="F136" s="22" t="s">
        <v>191</v>
      </c>
      <c r="G136" s="26" t="s">
        <v>145</v>
      </c>
      <c r="H136" s="15"/>
      <c r="I136" s="15"/>
      <c r="J136" s="16" t="s">
        <v>208</v>
      </c>
      <c r="K136" s="16">
        <v>2</v>
      </c>
      <c r="L136" s="16" t="s">
        <v>28</v>
      </c>
      <c r="M136" s="49">
        <v>28830</v>
      </c>
      <c r="N136" s="48">
        <v>46029</v>
      </c>
      <c r="O136" s="48" cm="1">
        <f t="array" ref="O136" xml:space="preserve"> IF(AND($L136 &lt;&gt; "", $L136 &lt;&gt; "Removed"), N136 + _xlfn.IFS(_xlfn.TEXTAFTER(L136," ",1) = "Days", _xlfn.NUMBERVALUE(_xlfn.TEXTBEFORE(L136," ",1)), L136="18 Months", 547, _xlfn.TEXTAFTER(L136," ",1) = "Years", _xlfn.NUMBERVALUE(_xlfn.TEXTBEFORE(L136," ",1))*365), "")</f>
        <v>46119</v>
      </c>
      <c r="P136" s="49">
        <v>28830</v>
      </c>
      <c r="Q136" s="15"/>
    </row>
    <row r="137" spans="2:17" ht="16.3" x14ac:dyDescent="0.3">
      <c r="B137" s="15"/>
      <c r="C137" s="15"/>
      <c r="D137" s="15"/>
      <c r="E137" s="15" t="s">
        <v>27</v>
      </c>
      <c r="F137" s="22"/>
      <c r="G137" s="26"/>
      <c r="H137" s="15"/>
      <c r="I137" s="15"/>
      <c r="J137" s="16"/>
      <c r="K137" s="16"/>
      <c r="L137" s="16" t="s">
        <v>27</v>
      </c>
      <c r="M137" s="16"/>
      <c r="N137" s="27"/>
      <c r="O137" s="48" t="str" cm="1">
        <f t="array" ref="O137" xml:space="preserve"> IF(AND($L137 &lt;&gt; "", $L137 &lt;&gt; "Removed"), N137 + _xlfn.IFS(_xlfn.TEXTAFTER(L137," ",1) = "Days", _xlfn.NUMBERVALUE(_xlfn.TEXTBEFORE(L137," ",1)), L137="18 Months", 547, _xlfn.TEXTAFTER(L137," ",1) = "Years", _xlfn.NUMBERVALUE(_xlfn.TEXTBEFORE(L137," ",1))*365), "")</f>
        <v/>
      </c>
      <c r="P137" s="49"/>
      <c r="Q137" s="15"/>
    </row>
    <row r="138" spans="2:17" ht="16.3" x14ac:dyDescent="0.3">
      <c r="B138" s="15" t="s">
        <v>50</v>
      </c>
      <c r="C138" s="15" t="s">
        <v>245</v>
      </c>
      <c r="D138" s="15"/>
      <c r="E138" s="15" t="s">
        <v>142</v>
      </c>
      <c r="F138" s="22"/>
      <c r="G138" s="26" t="s">
        <v>145</v>
      </c>
      <c r="H138" s="15"/>
      <c r="I138" s="15"/>
      <c r="J138" s="16" t="s">
        <v>17</v>
      </c>
      <c r="K138" s="16">
        <v>3</v>
      </c>
      <c r="L138" s="16" t="s">
        <v>32</v>
      </c>
      <c r="M138" s="16">
        <v>27932</v>
      </c>
      <c r="N138" s="48">
        <v>45937</v>
      </c>
      <c r="O138" s="48" cm="1">
        <f t="array" ref="O138" xml:space="preserve"> IF(AND($L138 &lt;&gt; "", $L138 &lt;&gt; "Removed"), N138 + _xlfn.IFS(_xlfn.TEXTAFTER(L138," ",1) = "Days", _xlfn.NUMBERVALUE(_xlfn.TEXTBEFORE(L138," ",1)), L138="18 Months", 547, _xlfn.TEXTAFTER(L138," ",1) = "Years", _xlfn.NUMBERVALUE(_xlfn.TEXTBEFORE(L138," ",1))*365), "")</f>
        <v>46117</v>
      </c>
      <c r="P138" s="49">
        <v>27932</v>
      </c>
      <c r="Q138" s="15" t="s">
        <v>239</v>
      </c>
    </row>
    <row r="139" spans="2:17" ht="16.3" x14ac:dyDescent="0.3">
      <c r="B139" s="15" t="s">
        <v>50</v>
      </c>
      <c r="C139" s="15" t="s">
        <v>245</v>
      </c>
      <c r="D139" s="15"/>
      <c r="E139" s="15" t="s">
        <v>142</v>
      </c>
      <c r="F139" s="22"/>
      <c r="G139" s="26" t="s">
        <v>145</v>
      </c>
      <c r="H139" s="15"/>
      <c r="I139" s="15"/>
      <c r="J139" s="16" t="s">
        <v>15</v>
      </c>
      <c r="K139" s="16">
        <v>2</v>
      </c>
      <c r="L139" s="16" t="s">
        <v>32</v>
      </c>
      <c r="M139" s="16">
        <v>27932</v>
      </c>
      <c r="N139" s="48">
        <v>45937</v>
      </c>
      <c r="O139" s="48" cm="1">
        <f t="array" ref="O139" xml:space="preserve"> IF(AND($L139 &lt;&gt; "", $L139 &lt;&gt; "Removed"), N139 + _xlfn.IFS(_xlfn.TEXTAFTER(L139," ",1) = "Days", _xlfn.NUMBERVALUE(_xlfn.TEXTBEFORE(L139," ",1)), L139="18 Months", 547, _xlfn.TEXTAFTER(L139," ",1) = "Years", _xlfn.NUMBERVALUE(_xlfn.TEXTBEFORE(L139," ",1))*365), "")</f>
        <v>46117</v>
      </c>
      <c r="P139" s="49">
        <v>27932</v>
      </c>
      <c r="Q139" s="15" t="s">
        <v>239</v>
      </c>
    </row>
    <row r="140" spans="2:17" ht="16.3" x14ac:dyDescent="0.3">
      <c r="B140" s="15" t="s">
        <v>50</v>
      </c>
      <c r="C140" s="15" t="s">
        <v>245</v>
      </c>
      <c r="D140" s="15"/>
      <c r="E140" s="15" t="s">
        <v>142</v>
      </c>
      <c r="F140" s="22"/>
      <c r="G140" s="26" t="s">
        <v>145</v>
      </c>
      <c r="H140" s="15"/>
      <c r="I140" s="15"/>
      <c r="J140" s="16" t="s">
        <v>209</v>
      </c>
      <c r="K140" s="16">
        <v>9</v>
      </c>
      <c r="L140" s="16" t="s">
        <v>32</v>
      </c>
      <c r="M140" s="16">
        <v>27932</v>
      </c>
      <c r="N140" s="48">
        <v>45937</v>
      </c>
      <c r="O140" s="48" cm="1">
        <f t="array" ref="O140" xml:space="preserve"> IF(AND($L140 &lt;&gt; "", $L140 &lt;&gt; "Removed"), N140 + _xlfn.IFS(_xlfn.TEXTAFTER(L140," ",1) = "Days", _xlfn.NUMBERVALUE(_xlfn.TEXTBEFORE(L140," ",1)), L140="18 Months", 547, _xlfn.TEXTAFTER(L140," ",1) = "Years", _xlfn.NUMBERVALUE(_xlfn.TEXTBEFORE(L140," ",1))*365), "")</f>
        <v>46117</v>
      </c>
      <c r="P140" s="49">
        <v>27932</v>
      </c>
      <c r="Q140" s="15" t="s">
        <v>239</v>
      </c>
    </row>
    <row r="141" spans="2:17" ht="16.3" x14ac:dyDescent="0.3">
      <c r="B141" s="15"/>
      <c r="C141" s="15"/>
      <c r="D141" s="15"/>
      <c r="E141" s="15" t="s">
        <v>27</v>
      </c>
      <c r="F141" s="22"/>
      <c r="G141" s="26"/>
      <c r="H141" s="15"/>
      <c r="I141" s="15"/>
      <c r="J141" s="16"/>
      <c r="K141" s="16"/>
      <c r="L141" s="16" t="s">
        <v>27</v>
      </c>
      <c r="M141" s="16"/>
      <c r="N141" s="27"/>
      <c r="O141" s="48" t="str" cm="1">
        <f t="array" ref="O141" xml:space="preserve"> IF(AND($L141 &lt;&gt; "", $L141 &lt;&gt; "Removed"), N141 + _xlfn.IFS(_xlfn.TEXTAFTER(L141," ",1) = "Days", _xlfn.NUMBERVALUE(_xlfn.TEXTBEFORE(L141," ",1)), L141="18 Months", 547, _xlfn.TEXTAFTER(L141," ",1) = "Years", _xlfn.NUMBERVALUE(_xlfn.TEXTBEFORE(L141," ",1))*365), "")</f>
        <v/>
      </c>
      <c r="P141" s="49"/>
      <c r="Q141" s="15"/>
    </row>
    <row r="142" spans="2:17" ht="16.3" x14ac:dyDescent="0.3">
      <c r="B142" s="15" t="s">
        <v>50</v>
      </c>
      <c r="C142" s="15" t="s">
        <v>90</v>
      </c>
      <c r="D142" s="15"/>
      <c r="E142" s="15" t="s">
        <v>223</v>
      </c>
      <c r="F142" s="22"/>
      <c r="G142" s="26" t="s">
        <v>147</v>
      </c>
      <c r="H142" s="15"/>
      <c r="I142" s="15"/>
      <c r="J142" s="16" t="s">
        <v>13</v>
      </c>
      <c r="K142" s="16">
        <v>14</v>
      </c>
      <c r="L142" s="16" t="s">
        <v>34</v>
      </c>
      <c r="M142" s="16">
        <v>8332</v>
      </c>
      <c r="N142" s="27" t="s">
        <v>216</v>
      </c>
      <c r="O142" s="48" t="e" cm="1">
        <f t="array" ref="O142" xml:space="preserve"> IF(AND($L142 &lt;&gt; "", $L142 &lt;&gt; "Removed"), N142 + _xlfn.IFS(_xlfn.TEXTAFTER(L142," ",1) = "Days", _xlfn.NUMBERVALUE(_xlfn.TEXTBEFORE(L142," ",1)), L142="18 Months", 547, _xlfn.TEXTAFTER(L142," ",1) = "Years", _xlfn.NUMBERVALUE(_xlfn.TEXTBEFORE(L142," ",1))*365), "")</f>
        <v>#VALUE!</v>
      </c>
      <c r="P142" s="49"/>
      <c r="Q142" s="15"/>
    </row>
    <row r="143" spans="2:17" ht="16.3" x14ac:dyDescent="0.3">
      <c r="B143" s="15"/>
      <c r="C143" s="15"/>
      <c r="D143" s="15"/>
      <c r="E143" s="15"/>
      <c r="F143" s="22"/>
      <c r="G143" s="26"/>
      <c r="H143" s="15"/>
      <c r="I143" s="15"/>
      <c r="J143" s="16"/>
      <c r="K143" s="16"/>
      <c r="L143" s="16"/>
      <c r="M143" s="16"/>
      <c r="N143" s="27"/>
      <c r="O143" s="48"/>
      <c r="P143" s="49"/>
      <c r="Q143" s="15"/>
    </row>
    <row r="144" spans="2:17" ht="16.3" x14ac:dyDescent="0.3">
      <c r="B144" s="15" t="s">
        <v>50</v>
      </c>
      <c r="C144" s="15" t="s">
        <v>242</v>
      </c>
      <c r="D144" s="15"/>
      <c r="E144" s="15" t="s">
        <v>142</v>
      </c>
      <c r="F144" s="22"/>
      <c r="G144" s="26" t="s">
        <v>144</v>
      </c>
      <c r="H144" s="15"/>
      <c r="I144" s="15"/>
      <c r="J144" s="16" t="s">
        <v>243</v>
      </c>
      <c r="K144" s="16">
        <v>1</v>
      </c>
      <c r="L144" s="16" t="s">
        <v>22</v>
      </c>
      <c r="M144" s="49">
        <v>28830</v>
      </c>
      <c r="N144" s="48">
        <v>46029</v>
      </c>
      <c r="O144" s="48" cm="1">
        <f t="array" ref="O144" xml:space="preserve"> IF(AND($L144 &lt;&gt; "", $L144 &lt;&gt; "Removed"), N144 + _xlfn.IFS(_xlfn.TEXTAFTER(L144," ",1) = "Days", _xlfn.NUMBERVALUE(_xlfn.TEXTBEFORE(L144," ",1)), L144="18 Months", 547, _xlfn.TEXTAFTER(L144," ",1) = "Years", _xlfn.NUMBERVALUE(_xlfn.TEXTBEFORE(L144," ",1))*365), "")</f>
        <v>46059</v>
      </c>
      <c r="P144" s="49">
        <v>28550</v>
      </c>
      <c r="Q144" s="15" t="s">
        <v>244</v>
      </c>
    </row>
    <row r="145" spans="2:17" ht="16.3" x14ac:dyDescent="0.3">
      <c r="B145" s="15"/>
      <c r="C145" s="15"/>
      <c r="D145" s="15"/>
      <c r="E145" s="15" t="s">
        <v>27</v>
      </c>
      <c r="F145" s="22"/>
      <c r="G145" s="26"/>
      <c r="H145" s="15"/>
      <c r="I145" s="15"/>
      <c r="J145" s="16"/>
      <c r="K145" s="16"/>
      <c r="L145" s="16" t="s">
        <v>27</v>
      </c>
      <c r="M145" s="16"/>
      <c r="N145" s="27"/>
      <c r="O145" s="48" t="str" cm="1">
        <f t="array" ref="O145" xml:space="preserve"> IF(AND($L145 &lt;&gt; "", $L145 &lt;&gt; "Removed"), N145 + _xlfn.IFS(_xlfn.TEXTAFTER(L145," ",1) = "Days", _xlfn.NUMBERVALUE(_xlfn.TEXTBEFORE(L145," ",1)), L145="18 Months", 547, _xlfn.TEXTAFTER(L145," ",1) = "Years", _xlfn.NUMBERVALUE(_xlfn.TEXTBEFORE(L145," ",1))*365), "")</f>
        <v/>
      </c>
      <c r="P145" s="49"/>
      <c r="Q145" s="15"/>
    </row>
    <row r="146" spans="2:17" ht="16.3" x14ac:dyDescent="0.25">
      <c r="B146" s="84"/>
      <c r="C146" s="84"/>
      <c r="D146" s="84"/>
      <c r="E146" s="84" t="s">
        <v>27</v>
      </c>
      <c r="F146" s="84"/>
      <c r="G146" s="84"/>
      <c r="H146" s="84"/>
      <c r="I146" s="84"/>
      <c r="J146" s="84" t="s">
        <v>247</v>
      </c>
      <c r="K146" s="84"/>
      <c r="L146" s="84"/>
      <c r="M146" s="84"/>
      <c r="N146" s="84"/>
      <c r="O146" s="89" t="str" cm="1">
        <f t="array" ref="O146" xml:space="preserve"> IF(AND($L146 &lt;&gt; "", $L146 &lt;&gt; "Removed"), N146 + _xlfn.IFS(_xlfn.TEXTAFTER(L146," ",1) = "Days", _xlfn.NUMBERVALUE(_xlfn.TEXTBEFORE(L146," ",1)), L146="18 Months", 547, _xlfn.TEXTAFTER(L146," ",1) = "Years", _xlfn.NUMBERVALUE(_xlfn.TEXTBEFORE(L146," ",1))*365), "")</f>
        <v/>
      </c>
      <c r="P146" s="84"/>
      <c r="Q146" s="84"/>
    </row>
    <row r="147" spans="2:17" ht="16.3" x14ac:dyDescent="0.3">
      <c r="B147" s="15" t="s">
        <v>91</v>
      </c>
      <c r="C147" s="15"/>
      <c r="D147" s="15"/>
      <c r="E147" s="15" t="s">
        <v>142</v>
      </c>
      <c r="F147" s="22" t="s">
        <v>228</v>
      </c>
      <c r="G147" s="26" t="s">
        <v>145</v>
      </c>
      <c r="H147" s="15"/>
      <c r="I147" s="15"/>
      <c r="J147" s="16" t="s">
        <v>19</v>
      </c>
      <c r="K147" s="16">
        <v>33</v>
      </c>
      <c r="L147" s="16" t="s">
        <v>28</v>
      </c>
      <c r="M147" s="16">
        <v>28831</v>
      </c>
      <c r="N147" s="27">
        <v>46029</v>
      </c>
      <c r="O147" s="48" cm="1">
        <f t="array" ref="O147" xml:space="preserve"> IF(AND($L147 &lt;&gt; "", $L147 &lt;&gt; "Removed"), N147 + _xlfn.IFS(_xlfn.TEXTAFTER(L147," ",1) = "Days", _xlfn.NUMBERVALUE(_xlfn.TEXTBEFORE(L147," ",1)), L147="18 Months", 547, _xlfn.TEXTAFTER(L147," ",1) = "Years", _xlfn.NUMBERVALUE(_xlfn.TEXTBEFORE(L147," ",1))*365), "")</f>
        <v>46119</v>
      </c>
      <c r="P147" s="49">
        <v>28831</v>
      </c>
      <c r="Q147" s="15"/>
    </row>
    <row r="148" spans="2:17" ht="16.3" x14ac:dyDescent="0.3">
      <c r="B148" s="15" t="s">
        <v>91</v>
      </c>
      <c r="C148" s="15"/>
      <c r="D148" s="15"/>
      <c r="E148" s="15" t="s">
        <v>142</v>
      </c>
      <c r="F148" s="22" t="s">
        <v>228</v>
      </c>
      <c r="G148" s="26" t="s">
        <v>145</v>
      </c>
      <c r="H148" s="15"/>
      <c r="I148" s="15"/>
      <c r="J148" s="16" t="s">
        <v>201</v>
      </c>
      <c r="K148" s="16">
        <v>11</v>
      </c>
      <c r="L148" s="16" t="s">
        <v>28</v>
      </c>
      <c r="M148" s="16">
        <v>28831</v>
      </c>
      <c r="N148" s="27">
        <v>46029</v>
      </c>
      <c r="O148" s="48" cm="1">
        <f t="array" ref="O148" xml:space="preserve"> IF(AND($L148 &lt;&gt; "", $L148 &lt;&gt; "Removed"), N148 + _xlfn.IFS(_xlfn.TEXTAFTER(L148," ",1) = "Days", _xlfn.NUMBERVALUE(_xlfn.TEXTBEFORE(L148," ",1)), L148="18 Months", 547, _xlfn.TEXTAFTER(L148," ",1) = "Years", _xlfn.NUMBERVALUE(_xlfn.TEXTBEFORE(L148," ",1))*365), "")</f>
        <v>46119</v>
      </c>
      <c r="P148" s="49">
        <v>28831</v>
      </c>
      <c r="Q148" s="15"/>
    </row>
    <row r="149" spans="2:17" ht="16.3" x14ac:dyDescent="0.3">
      <c r="B149" s="15" t="s">
        <v>91</v>
      </c>
      <c r="C149" s="15"/>
      <c r="D149" s="15"/>
      <c r="E149" s="15" t="s">
        <v>142</v>
      </c>
      <c r="F149" s="22" t="s">
        <v>228</v>
      </c>
      <c r="G149" s="26" t="s">
        <v>145</v>
      </c>
      <c r="H149" s="15"/>
      <c r="I149" s="15"/>
      <c r="J149" s="16" t="s">
        <v>210</v>
      </c>
      <c r="K149" s="16">
        <v>16</v>
      </c>
      <c r="L149" s="16" t="s">
        <v>33</v>
      </c>
      <c r="M149" s="16">
        <v>24467</v>
      </c>
      <c r="N149" s="27">
        <v>45414</v>
      </c>
      <c r="O149" s="48" t="str" cm="1">
        <f t="array" ref="O149" xml:space="preserve"> IF(AND($L149 &lt;&gt; "", $L149 &lt;&gt; "Removed"), N149 + _xlfn.IFS(_xlfn.TEXTAFTER(L149," ",1) = "Days", _xlfn.NUMBERVALUE(_xlfn.TEXTBEFORE(L149," ",1)), L149="18 Months", 547, _xlfn.TEXTAFTER(L149," ",1) = "Years", _xlfn.NUMBERVALUE(_xlfn.TEXTBEFORE(L149," ",1))*365), "")</f>
        <v/>
      </c>
      <c r="P149" s="49">
        <v>24674</v>
      </c>
      <c r="Q149" s="15"/>
    </row>
    <row r="150" spans="2:17" ht="16.3" x14ac:dyDescent="0.3">
      <c r="B150" s="15" t="s">
        <v>91</v>
      </c>
      <c r="C150" s="15"/>
      <c r="D150" s="15"/>
      <c r="E150" s="15" t="s">
        <v>223</v>
      </c>
      <c r="F150" s="22" t="s">
        <v>228</v>
      </c>
      <c r="G150" s="26" t="s">
        <v>147</v>
      </c>
      <c r="H150" s="15"/>
      <c r="I150" s="15"/>
      <c r="J150" s="16" t="s">
        <v>13</v>
      </c>
      <c r="K150" s="16">
        <v>16</v>
      </c>
      <c r="L150" s="16" t="s">
        <v>34</v>
      </c>
      <c r="M150" s="16">
        <v>28131</v>
      </c>
      <c r="N150" s="27">
        <v>45980</v>
      </c>
      <c r="O150" s="48" cm="1">
        <f t="array" ref="O150" xml:space="preserve"> IF(AND($L150 &lt;&gt; "", $L150 &lt;&gt; "Removed"), N150 + _xlfn.IFS(_xlfn.TEXTAFTER(L150," ",1) = "Days", _xlfn.NUMBERVALUE(_xlfn.TEXTBEFORE(L150," ",1)), L150="18 Months", 547, _xlfn.TEXTAFTER(L150," ",1) = "Years", _xlfn.NUMBERVALUE(_xlfn.TEXTBEFORE(L150," ",1))*365), "")</f>
        <v>46527</v>
      </c>
      <c r="P150" s="49">
        <v>28131</v>
      </c>
      <c r="Q150" s="15"/>
    </row>
    <row r="151" spans="2:17" ht="16.3" x14ac:dyDescent="0.3">
      <c r="B151" s="15"/>
      <c r="C151" s="15"/>
      <c r="D151" s="15"/>
      <c r="E151" s="15" t="s">
        <v>27</v>
      </c>
      <c r="F151" s="22"/>
      <c r="G151" s="26"/>
      <c r="H151" s="15"/>
      <c r="I151" s="15"/>
      <c r="J151" s="16"/>
      <c r="K151" s="16"/>
      <c r="L151" s="16" t="s">
        <v>27</v>
      </c>
      <c r="M151" s="16"/>
      <c r="N151" s="27"/>
      <c r="O151" s="48" t="str" cm="1">
        <f t="array" ref="O151" xml:space="preserve"> IF(AND($L151 &lt;&gt; "", $L151 &lt;&gt; "Removed"), N151 + _xlfn.IFS(_xlfn.TEXTAFTER(L151," ",1) = "Days", _xlfn.NUMBERVALUE(_xlfn.TEXTBEFORE(L151," ",1)), L151="18 Months", 547, _xlfn.TEXTAFTER(L151," ",1) = "Years", _xlfn.NUMBERVALUE(_xlfn.TEXTBEFORE(L151," ",1))*365), "")</f>
        <v/>
      </c>
      <c r="P151" s="49"/>
      <c r="Q151" s="15"/>
    </row>
    <row r="152" spans="2:17" ht="16.3" x14ac:dyDescent="0.3">
      <c r="B152" s="15" t="s">
        <v>91</v>
      </c>
      <c r="C152" s="15"/>
      <c r="D152" s="15"/>
      <c r="E152" s="15" t="s">
        <v>142</v>
      </c>
      <c r="F152" s="22" t="s">
        <v>229</v>
      </c>
      <c r="G152" s="26" t="s">
        <v>145</v>
      </c>
      <c r="H152" s="15"/>
      <c r="I152" s="15"/>
      <c r="J152" s="16" t="s">
        <v>19</v>
      </c>
      <c r="K152" s="16">
        <v>15</v>
      </c>
      <c r="L152" s="16" t="s">
        <v>28</v>
      </c>
      <c r="M152" s="16">
        <v>28831</v>
      </c>
      <c r="N152" s="27">
        <v>46029</v>
      </c>
      <c r="O152" s="48" cm="1">
        <f t="array" ref="O152" xml:space="preserve"> IF(AND($L152 &lt;&gt; "", $L152 &lt;&gt; "Removed"), N152 + _xlfn.IFS(_xlfn.TEXTAFTER(L152," ",1) = "Days", _xlfn.NUMBERVALUE(_xlfn.TEXTBEFORE(L152," ",1)), L152="18 Months", 547, _xlfn.TEXTAFTER(L152," ",1) = "Years", _xlfn.NUMBERVALUE(_xlfn.TEXTBEFORE(L152," ",1))*365), "")</f>
        <v>46119</v>
      </c>
      <c r="P152" s="49">
        <v>28831</v>
      </c>
      <c r="Q152" s="15" t="s">
        <v>240</v>
      </c>
    </row>
    <row r="153" spans="2:17" ht="16.3" x14ac:dyDescent="0.3">
      <c r="B153" s="15" t="s">
        <v>91</v>
      </c>
      <c r="C153" s="15"/>
      <c r="D153" s="15"/>
      <c r="E153" s="15" t="s">
        <v>142</v>
      </c>
      <c r="F153" s="22" t="s">
        <v>229</v>
      </c>
      <c r="G153" s="26" t="s">
        <v>145</v>
      </c>
      <c r="H153" s="15"/>
      <c r="I153" s="15"/>
      <c r="J153" s="16" t="s">
        <v>21</v>
      </c>
      <c r="K153" s="16">
        <v>5</v>
      </c>
      <c r="L153" s="16" t="s">
        <v>33</v>
      </c>
      <c r="M153" s="16">
        <v>27933</v>
      </c>
      <c r="N153" s="27">
        <v>45937</v>
      </c>
      <c r="O153" s="48" t="str" cm="1">
        <f t="array" ref="O153" xml:space="preserve"> IF(AND($L153 &lt;&gt; "", $L153 &lt;&gt; "Removed"), N153 + _xlfn.IFS(_xlfn.TEXTAFTER(L153," ",1) = "Days", _xlfn.NUMBERVALUE(_xlfn.TEXTBEFORE(L153," ",1)), L153="18 Months", 547, _xlfn.TEXTAFTER(L153," ",1) = "Years", _xlfn.NUMBERVALUE(_xlfn.TEXTBEFORE(L153," ",1))*365), "")</f>
        <v/>
      </c>
      <c r="P153" s="49">
        <v>27933</v>
      </c>
      <c r="Q153" s="15" t="s">
        <v>241</v>
      </c>
    </row>
    <row r="154" spans="2:17" ht="16.3" x14ac:dyDescent="0.3">
      <c r="B154" s="15" t="s">
        <v>91</v>
      </c>
      <c r="C154" s="15"/>
      <c r="D154" s="15"/>
      <c r="E154" s="15" t="s">
        <v>142</v>
      </c>
      <c r="F154" s="22" t="s">
        <v>229</v>
      </c>
      <c r="G154" s="26" t="s">
        <v>145</v>
      </c>
      <c r="H154" s="15"/>
      <c r="I154" s="15"/>
      <c r="J154" s="16" t="s">
        <v>207</v>
      </c>
      <c r="K154" s="16">
        <v>5</v>
      </c>
      <c r="L154" s="16" t="s">
        <v>28</v>
      </c>
      <c r="M154" s="16">
        <v>28831</v>
      </c>
      <c r="N154" s="27">
        <v>46029</v>
      </c>
      <c r="O154" s="48" cm="1">
        <f t="array" ref="O154" xml:space="preserve"> IF(AND($L154 &lt;&gt; "", $L154 &lt;&gt; "Removed"), N154 + _xlfn.IFS(_xlfn.TEXTAFTER(L154," ",1) = "Days", _xlfn.NUMBERVALUE(_xlfn.TEXTBEFORE(L154," ",1)), L154="18 Months", 547, _xlfn.TEXTAFTER(L154," ",1) = "Years", _xlfn.NUMBERVALUE(_xlfn.TEXTBEFORE(L154," ",1))*365), "")</f>
        <v>46119</v>
      </c>
      <c r="P154" s="49">
        <v>28831</v>
      </c>
      <c r="Q154" s="15"/>
    </row>
    <row r="155" spans="2:17" ht="16.3" x14ac:dyDescent="0.3">
      <c r="B155" s="15" t="s">
        <v>91</v>
      </c>
      <c r="C155" s="15"/>
      <c r="D155" s="15"/>
      <c r="E155" s="15" t="s">
        <v>223</v>
      </c>
      <c r="F155" s="22" t="s">
        <v>229</v>
      </c>
      <c r="G155" s="26" t="s">
        <v>147</v>
      </c>
      <c r="H155" s="15"/>
      <c r="I155" s="15"/>
      <c r="J155" s="16" t="s">
        <v>13</v>
      </c>
      <c r="K155" s="16">
        <v>4</v>
      </c>
      <c r="L155" s="16" t="s">
        <v>34</v>
      </c>
      <c r="M155" s="16">
        <v>28131</v>
      </c>
      <c r="N155" s="27">
        <v>45980</v>
      </c>
      <c r="O155" s="48" cm="1">
        <f t="array" ref="O155" xml:space="preserve"> IF(AND($L155 &lt;&gt; "", $L155 &lt;&gt; "Removed"), N155 + _xlfn.IFS(_xlfn.TEXTAFTER(L155," ",1) = "Days", _xlfn.NUMBERVALUE(_xlfn.TEXTBEFORE(L155," ",1)), L155="18 Months", 547, _xlfn.TEXTAFTER(L155," ",1) = "Years", _xlfn.NUMBERVALUE(_xlfn.TEXTBEFORE(L155," ",1))*365), "")</f>
        <v>46527</v>
      </c>
      <c r="P155" s="49">
        <v>28131</v>
      </c>
      <c r="Q155" s="15"/>
    </row>
    <row r="156" spans="2:17" ht="16.3" x14ac:dyDescent="0.3">
      <c r="B156" s="15" t="s">
        <v>91</v>
      </c>
      <c r="C156" s="15"/>
      <c r="D156" s="15"/>
      <c r="E156" s="15" t="s">
        <v>223</v>
      </c>
      <c r="F156" s="22" t="s">
        <v>229</v>
      </c>
      <c r="G156" s="26" t="s">
        <v>147</v>
      </c>
      <c r="H156" s="15"/>
      <c r="I156" s="15"/>
      <c r="J156" s="16" t="s">
        <v>14</v>
      </c>
      <c r="K156" s="16">
        <v>4</v>
      </c>
      <c r="L156" s="16" t="s">
        <v>34</v>
      </c>
      <c r="M156" s="16">
        <v>28131</v>
      </c>
      <c r="N156" s="27">
        <v>45980</v>
      </c>
      <c r="O156" s="48" cm="1">
        <f t="array" ref="O156" xml:space="preserve"> IF(AND($L156 &lt;&gt; "", $L156 &lt;&gt; "Removed"), N156 + _xlfn.IFS(_xlfn.TEXTAFTER(L156," ",1) = "Days", _xlfn.NUMBERVALUE(_xlfn.TEXTBEFORE(L156," ",1)), L156="18 Months", 547, _xlfn.TEXTAFTER(L156," ",1) = "Years", _xlfn.NUMBERVALUE(_xlfn.TEXTBEFORE(L156," ",1))*365), "")</f>
        <v>46527</v>
      </c>
      <c r="P156" s="49">
        <v>28131</v>
      </c>
      <c r="Q156" s="15"/>
    </row>
    <row r="157" spans="2:17" ht="16.3" x14ac:dyDescent="0.3">
      <c r="B157" s="15"/>
      <c r="C157" s="15"/>
      <c r="D157" s="15"/>
      <c r="E157" s="15" t="s">
        <v>27</v>
      </c>
      <c r="F157" s="22"/>
      <c r="G157" s="26"/>
      <c r="H157" s="15"/>
      <c r="I157" s="15"/>
      <c r="J157" s="16"/>
      <c r="K157" s="16"/>
      <c r="L157" s="16" t="s">
        <v>27</v>
      </c>
      <c r="M157" s="16"/>
      <c r="N157" s="27"/>
      <c r="O157" s="48" t="str" cm="1">
        <f t="array" ref="O157" xml:space="preserve"> IF(AND($L157 &lt;&gt; "", $L157 &lt;&gt; "Removed"), N157 + _xlfn.IFS(_xlfn.TEXTAFTER(L157," ",1) = "Days", _xlfn.NUMBERVALUE(_xlfn.TEXTBEFORE(L157," ",1)), L157="18 Months", 547, _xlfn.TEXTAFTER(L157," ",1) = "Years", _xlfn.NUMBERVALUE(_xlfn.TEXTBEFORE(L157," ",1))*365), "")</f>
        <v/>
      </c>
      <c r="P157" s="49"/>
      <c r="Q157" s="15"/>
    </row>
    <row r="158" spans="2:17" ht="16.3" x14ac:dyDescent="0.3">
      <c r="B158" s="15" t="s">
        <v>91</v>
      </c>
      <c r="C158" s="15"/>
      <c r="D158" s="15"/>
      <c r="E158" s="15" t="s">
        <v>142</v>
      </c>
      <c r="F158" s="22" t="s">
        <v>230</v>
      </c>
      <c r="G158" s="26" t="s">
        <v>145</v>
      </c>
      <c r="H158" s="15"/>
      <c r="I158" s="15"/>
      <c r="J158" s="16" t="s">
        <v>49</v>
      </c>
      <c r="K158" s="16">
        <v>8</v>
      </c>
      <c r="L158" s="16" t="s">
        <v>28</v>
      </c>
      <c r="M158" s="16">
        <v>28831</v>
      </c>
      <c r="N158" s="27">
        <v>46029</v>
      </c>
      <c r="O158" s="48" cm="1">
        <f t="array" ref="O158" xml:space="preserve"> IF(AND($L158 &lt;&gt; "", $L158 &lt;&gt; "Removed"), N158 + _xlfn.IFS(_xlfn.TEXTAFTER(L158," ",1) = "Days", _xlfn.NUMBERVALUE(_xlfn.TEXTBEFORE(L158," ",1)), L158="18 Months", 547, _xlfn.TEXTAFTER(L158," ",1) = "Years", _xlfn.NUMBERVALUE(_xlfn.TEXTBEFORE(L158," ",1))*365), "")</f>
        <v>46119</v>
      </c>
      <c r="P158" s="49">
        <v>28831</v>
      </c>
      <c r="Q158" s="15"/>
    </row>
    <row r="159" spans="2:17" ht="16.3" x14ac:dyDescent="0.3">
      <c r="B159" s="15" t="s">
        <v>91</v>
      </c>
      <c r="C159" s="15"/>
      <c r="D159" s="15"/>
      <c r="E159" s="15" t="s">
        <v>142</v>
      </c>
      <c r="F159" s="22" t="s">
        <v>230</v>
      </c>
      <c r="G159" s="26" t="s">
        <v>145</v>
      </c>
      <c r="H159" s="15"/>
      <c r="I159" s="15"/>
      <c r="J159" s="16" t="s">
        <v>17</v>
      </c>
      <c r="K159" s="16">
        <v>4</v>
      </c>
      <c r="L159" s="16" t="s">
        <v>28</v>
      </c>
      <c r="M159" s="16">
        <v>28831</v>
      </c>
      <c r="N159" s="27">
        <v>46029</v>
      </c>
      <c r="O159" s="48" cm="1">
        <f t="array" ref="O159" xml:space="preserve"> IF(AND($L159 &lt;&gt; "", $L159 &lt;&gt; "Removed"), N159 + _xlfn.IFS(_xlfn.TEXTAFTER(L159," ",1) = "Days", _xlfn.NUMBERVALUE(_xlfn.TEXTBEFORE(L159," ",1)), L159="18 Months", 547, _xlfn.TEXTAFTER(L159," ",1) = "Years", _xlfn.NUMBERVALUE(_xlfn.TEXTBEFORE(L159," ",1))*365), "")</f>
        <v>46119</v>
      </c>
      <c r="P159" s="49">
        <v>28831</v>
      </c>
      <c r="Q159" s="15"/>
    </row>
    <row r="160" spans="2:17" ht="16.3" x14ac:dyDescent="0.3">
      <c r="B160" s="15" t="s">
        <v>91</v>
      </c>
      <c r="C160" s="15"/>
      <c r="D160" s="15"/>
      <c r="E160" s="15" t="s">
        <v>223</v>
      </c>
      <c r="F160" s="22" t="s">
        <v>230</v>
      </c>
      <c r="G160" s="26" t="s">
        <v>147</v>
      </c>
      <c r="H160" s="15"/>
      <c r="I160" s="15"/>
      <c r="J160" s="16" t="s">
        <v>29</v>
      </c>
      <c r="K160" s="16">
        <v>9</v>
      </c>
      <c r="L160" s="16" t="s">
        <v>34</v>
      </c>
      <c r="M160" s="16">
        <v>28131</v>
      </c>
      <c r="N160" s="27">
        <v>45980</v>
      </c>
      <c r="O160" s="48" cm="1">
        <f t="array" ref="O160" xml:space="preserve"> IF(AND($L160 &lt;&gt; "", $L160 &lt;&gt; "Removed"), N160 + _xlfn.IFS(_xlfn.TEXTAFTER(L160," ",1) = "Days", _xlfn.NUMBERVALUE(_xlfn.TEXTBEFORE(L160," ",1)), L160="18 Months", 547, _xlfn.TEXTAFTER(L160," ",1) = "Years", _xlfn.NUMBERVALUE(_xlfn.TEXTBEFORE(L160," ",1))*365), "")</f>
        <v>46527</v>
      </c>
      <c r="P160" s="49">
        <v>28131</v>
      </c>
      <c r="Q160" s="15"/>
    </row>
    <row r="161" spans="2:17" ht="16.3" x14ac:dyDescent="0.3">
      <c r="B161" s="15" t="s">
        <v>91</v>
      </c>
      <c r="C161" s="15"/>
      <c r="D161" s="15"/>
      <c r="E161" s="15" t="s">
        <v>223</v>
      </c>
      <c r="F161" s="22" t="s">
        <v>230</v>
      </c>
      <c r="G161" s="26" t="s">
        <v>152</v>
      </c>
      <c r="H161" s="15"/>
      <c r="I161" s="15"/>
      <c r="J161" s="16" t="s">
        <v>211</v>
      </c>
      <c r="K161" s="16">
        <v>2</v>
      </c>
      <c r="L161" s="16" t="s">
        <v>34</v>
      </c>
      <c r="M161" s="16">
        <v>28131</v>
      </c>
      <c r="N161" s="27">
        <v>45980</v>
      </c>
      <c r="O161" s="48" cm="1">
        <f t="array" ref="O161" xml:space="preserve"> IF(AND($L161 &lt;&gt; "", $L161 &lt;&gt; "Removed"), N161 + _xlfn.IFS(_xlfn.TEXTAFTER(L161," ",1) = "Days", _xlfn.NUMBERVALUE(_xlfn.TEXTBEFORE(L161," ",1)), L161="18 Months", 547, _xlfn.TEXTAFTER(L161," ",1) = "Years", _xlfn.NUMBERVALUE(_xlfn.TEXTBEFORE(L161," ",1))*365), "")</f>
        <v>46527</v>
      </c>
      <c r="P161" s="49">
        <v>28131</v>
      </c>
      <c r="Q161" s="15"/>
    </row>
    <row r="162" spans="2:17" ht="16.3" x14ac:dyDescent="0.3">
      <c r="B162" s="15"/>
      <c r="C162" s="15"/>
      <c r="D162" s="15"/>
      <c r="E162" s="15" t="s">
        <v>27</v>
      </c>
      <c r="F162" s="22"/>
      <c r="G162" s="26"/>
      <c r="H162" s="15"/>
      <c r="I162" s="15"/>
      <c r="J162" s="16"/>
      <c r="K162" s="16"/>
      <c r="L162" s="16" t="s">
        <v>27</v>
      </c>
      <c r="M162" s="16"/>
      <c r="N162" s="27"/>
      <c r="O162" s="48" t="str" cm="1">
        <f t="array" ref="O162" xml:space="preserve"> IF(AND($L162 &lt;&gt; "", $L162 &lt;&gt; "Removed"), N162 + _xlfn.IFS(_xlfn.TEXTAFTER(L162," ",1) = "Days", _xlfn.NUMBERVALUE(_xlfn.TEXTBEFORE(L162," ",1)), L162="18 Months", 547, _xlfn.TEXTAFTER(L162," ",1) = "Years", _xlfn.NUMBERVALUE(_xlfn.TEXTBEFORE(L162," ",1))*365), "")</f>
        <v/>
      </c>
      <c r="P162" s="49"/>
      <c r="Q162" s="15"/>
    </row>
    <row r="163" spans="2:17" ht="16.3" x14ac:dyDescent="0.3">
      <c r="B163" s="15" t="s">
        <v>91</v>
      </c>
      <c r="C163" s="15"/>
      <c r="D163" s="15"/>
      <c r="E163" s="15" t="s">
        <v>142</v>
      </c>
      <c r="F163" s="22" t="s">
        <v>231</v>
      </c>
      <c r="G163" s="26" t="s">
        <v>145</v>
      </c>
      <c r="H163" s="15"/>
      <c r="I163" s="15"/>
      <c r="J163" s="16" t="s">
        <v>19</v>
      </c>
      <c r="K163" s="16">
        <v>21</v>
      </c>
      <c r="L163" s="16" t="s">
        <v>28</v>
      </c>
      <c r="M163" s="16">
        <v>28831</v>
      </c>
      <c r="N163" s="27">
        <v>46029</v>
      </c>
      <c r="O163" s="48" cm="1">
        <f t="array" ref="O163" xml:space="preserve"> IF(AND($L163 &lt;&gt; "", $L163 &lt;&gt; "Removed"), N163 + _xlfn.IFS(_xlfn.TEXTAFTER(L163," ",1) = "Days", _xlfn.NUMBERVALUE(_xlfn.TEXTBEFORE(L163," ",1)), L163="18 Months", 547, _xlfn.TEXTAFTER(L163," ",1) = "Years", _xlfn.NUMBERVALUE(_xlfn.TEXTBEFORE(L163," ",1))*365), "")</f>
        <v>46119</v>
      </c>
      <c r="P163" s="49">
        <v>28831</v>
      </c>
      <c r="Q163" s="15"/>
    </row>
    <row r="164" spans="2:17" ht="16.3" x14ac:dyDescent="0.3">
      <c r="B164" s="15" t="s">
        <v>91</v>
      </c>
      <c r="C164" s="15"/>
      <c r="D164" s="15"/>
      <c r="E164" s="15" t="s">
        <v>142</v>
      </c>
      <c r="F164" s="22" t="s">
        <v>231</v>
      </c>
      <c r="G164" s="26" t="s">
        <v>145</v>
      </c>
      <c r="H164" s="15"/>
      <c r="I164" s="15"/>
      <c r="J164" s="16" t="s">
        <v>21</v>
      </c>
      <c r="K164" s="16">
        <v>7</v>
      </c>
      <c r="L164" s="16" t="s">
        <v>28</v>
      </c>
      <c r="M164" s="16">
        <v>28831</v>
      </c>
      <c r="N164" s="27">
        <v>46029</v>
      </c>
      <c r="O164" s="48" cm="1">
        <f t="array" ref="O164" xml:space="preserve"> IF(AND($L164 &lt;&gt; "", $L164 &lt;&gt; "Removed"), N164 + _xlfn.IFS(_xlfn.TEXTAFTER(L164," ",1) = "Days", _xlfn.NUMBERVALUE(_xlfn.TEXTBEFORE(L164," ",1)), L164="18 Months", 547, _xlfn.TEXTAFTER(L164," ",1) = "Years", _xlfn.NUMBERVALUE(_xlfn.TEXTBEFORE(L164," ",1))*365), "")</f>
        <v>46119</v>
      </c>
      <c r="P164" s="49">
        <v>28831</v>
      </c>
      <c r="Q164" s="15"/>
    </row>
    <row r="165" spans="2:17" ht="16.3" x14ac:dyDescent="0.3">
      <c r="B165" s="15" t="s">
        <v>91</v>
      </c>
      <c r="C165" s="15"/>
      <c r="D165" s="15"/>
      <c r="E165" s="15" t="s">
        <v>223</v>
      </c>
      <c r="F165" s="22" t="s">
        <v>231</v>
      </c>
      <c r="G165" s="26" t="s">
        <v>147</v>
      </c>
      <c r="H165" s="15"/>
      <c r="I165" s="15"/>
      <c r="J165" s="16" t="s">
        <v>13</v>
      </c>
      <c r="K165" s="16">
        <v>9</v>
      </c>
      <c r="L165" s="16" t="s">
        <v>34</v>
      </c>
      <c r="M165" s="16">
        <v>28131</v>
      </c>
      <c r="N165" s="27">
        <v>45980</v>
      </c>
      <c r="O165" s="48" cm="1">
        <f t="array" ref="O165" xml:space="preserve"> IF(AND($L165 &lt;&gt; "", $L165 &lt;&gt; "Removed"), N165 + _xlfn.IFS(_xlfn.TEXTAFTER(L165," ",1) = "Days", _xlfn.NUMBERVALUE(_xlfn.TEXTBEFORE(L165," ",1)), L165="18 Months", 547, _xlfn.TEXTAFTER(L165," ",1) = "Years", _xlfn.NUMBERVALUE(_xlfn.TEXTBEFORE(L165," ",1))*365), "")</f>
        <v>46527</v>
      </c>
      <c r="P165" s="49">
        <v>28131</v>
      </c>
      <c r="Q165" s="15"/>
    </row>
    <row r="166" spans="2:17" ht="16.3" x14ac:dyDescent="0.3">
      <c r="B166" s="15" t="s">
        <v>91</v>
      </c>
      <c r="C166" s="15"/>
      <c r="D166" s="15"/>
      <c r="E166" s="15" t="s">
        <v>223</v>
      </c>
      <c r="F166" s="22" t="s">
        <v>231</v>
      </c>
      <c r="G166" s="26" t="s">
        <v>147</v>
      </c>
      <c r="H166" s="15"/>
      <c r="I166" s="15"/>
      <c r="J166" s="16" t="s">
        <v>14</v>
      </c>
      <c r="K166" s="16">
        <v>3</v>
      </c>
      <c r="L166" s="16" t="s">
        <v>34</v>
      </c>
      <c r="M166" s="16">
        <v>28131</v>
      </c>
      <c r="N166" s="27">
        <v>45980</v>
      </c>
      <c r="O166" s="48" cm="1">
        <f t="array" ref="O166" xml:space="preserve"> IF(AND($L166 &lt;&gt; "", $L166 &lt;&gt; "Removed"), N166 + _xlfn.IFS(_xlfn.TEXTAFTER(L166," ",1) = "Days", _xlfn.NUMBERVALUE(_xlfn.TEXTBEFORE(L166," ",1)), L166="18 Months", 547, _xlfn.TEXTAFTER(L166," ",1) = "Years", _xlfn.NUMBERVALUE(_xlfn.TEXTBEFORE(L166," ",1))*365), "")</f>
        <v>46527</v>
      </c>
      <c r="P166" s="49">
        <v>28131</v>
      </c>
      <c r="Q166" s="15"/>
    </row>
    <row r="167" spans="2:17" ht="16.3" x14ac:dyDescent="0.3">
      <c r="B167" s="15"/>
      <c r="C167" s="15"/>
      <c r="D167" s="15"/>
      <c r="E167" s="15" t="s">
        <v>27</v>
      </c>
      <c r="F167" s="22"/>
      <c r="G167" s="26"/>
      <c r="H167" s="15"/>
      <c r="I167" s="15"/>
      <c r="J167" s="16"/>
      <c r="K167" s="16"/>
      <c r="L167" s="16"/>
      <c r="M167" s="16"/>
      <c r="N167" s="27"/>
      <c r="O167" s="48" t="str" cm="1">
        <f t="array" ref="O167" xml:space="preserve"> IF(AND($L167 &lt;&gt; "", $L167 &lt;&gt; "Removed"), N167 + _xlfn.IFS(_xlfn.TEXTAFTER(L167," ",1) = "Days", _xlfn.NUMBERVALUE(_xlfn.TEXTBEFORE(L167," ",1)), L167="18 Months", 547, _xlfn.TEXTAFTER(L167," ",1) = "Years", _xlfn.NUMBERVALUE(_xlfn.TEXTBEFORE(L167," ",1))*365), "")</f>
        <v/>
      </c>
      <c r="P167" s="49"/>
      <c r="Q167" s="15"/>
    </row>
    <row r="168" spans="2:17" ht="16.3" x14ac:dyDescent="0.3">
      <c r="B168" s="83"/>
      <c r="C168" s="83"/>
      <c r="D168" s="83"/>
      <c r="E168" s="83" t="s">
        <v>27</v>
      </c>
      <c r="F168" s="83"/>
      <c r="G168" s="83"/>
      <c r="H168" s="83"/>
      <c r="I168" s="83"/>
      <c r="J168" s="84" t="s">
        <v>232</v>
      </c>
      <c r="K168" s="83"/>
      <c r="L168" s="83"/>
      <c r="M168" s="83"/>
      <c r="N168" s="83"/>
      <c r="O168" s="89" t="str" cm="1">
        <f t="array" ref="O168" xml:space="preserve"> IF(AND($L168 &lt;&gt; "", $L168 &lt;&gt; "Removed"), N168 + _xlfn.IFS(_xlfn.TEXTAFTER(L168," ",1) = "Days", _xlfn.NUMBERVALUE(_xlfn.TEXTBEFORE(L168," ",1)), L168="18 Months", 547, _xlfn.TEXTAFTER(L168," ",1) = "Years", _xlfn.NUMBERVALUE(_xlfn.TEXTBEFORE(L168," ",1))*365), "")</f>
        <v/>
      </c>
      <c r="P168" s="83"/>
      <c r="Q168" s="83"/>
    </row>
    <row r="169" spans="2:17" ht="16.3" x14ac:dyDescent="0.3">
      <c r="B169" s="15" t="s">
        <v>92</v>
      </c>
      <c r="C169" s="15" t="s">
        <v>94</v>
      </c>
      <c r="D169" s="15"/>
      <c r="E169" s="15" t="s">
        <v>142</v>
      </c>
      <c r="F169" s="22" t="s">
        <v>99</v>
      </c>
      <c r="G169" s="26" t="s">
        <v>153</v>
      </c>
      <c r="H169" s="15"/>
      <c r="I169" s="15"/>
      <c r="J169" s="16" t="s">
        <v>19</v>
      </c>
      <c r="K169" s="16">
        <v>1</v>
      </c>
      <c r="L169" s="16" t="s">
        <v>32</v>
      </c>
      <c r="M169" s="16">
        <v>28177</v>
      </c>
      <c r="N169" s="27">
        <v>46035</v>
      </c>
      <c r="O169" s="48" cm="1">
        <f t="array" ref="O169" xml:space="preserve"> IF(AND($L169 &lt;&gt; "", $L169 &lt;&gt; "Removed"), N169 + _xlfn.IFS(_xlfn.TEXTAFTER(L169," ",1) = "Days", _xlfn.NUMBERVALUE(_xlfn.TEXTBEFORE(L169," ",1)), L169="18 Months", 547, _xlfn.TEXTAFTER(L169," ",1) = "Years", _xlfn.NUMBERVALUE(_xlfn.TEXTBEFORE(L169," ",1))*365), "")</f>
        <v>46215</v>
      </c>
      <c r="P169" s="49">
        <v>28177</v>
      </c>
      <c r="Q169" s="15"/>
    </row>
    <row r="170" spans="2:17" ht="16.3" x14ac:dyDescent="0.3">
      <c r="B170" s="15" t="s">
        <v>92</v>
      </c>
      <c r="C170" s="15" t="s">
        <v>94</v>
      </c>
      <c r="D170" s="15"/>
      <c r="E170" s="15" t="s">
        <v>223</v>
      </c>
      <c r="F170" s="22" t="s">
        <v>99</v>
      </c>
      <c r="G170" s="26" t="s">
        <v>154</v>
      </c>
      <c r="H170" s="15"/>
      <c r="I170" s="15"/>
      <c r="J170" s="16" t="s">
        <v>212</v>
      </c>
      <c r="K170" s="16">
        <v>1</v>
      </c>
      <c r="L170" s="16" t="s">
        <v>24</v>
      </c>
      <c r="M170" s="16">
        <v>11308</v>
      </c>
      <c r="N170" s="27">
        <v>45887</v>
      </c>
      <c r="O170" s="48" cm="1">
        <f t="array" ref="O170" xml:space="preserve"> IF(AND($L170 &lt;&gt; "", $L170 &lt;&gt; "Removed"), N170 + _xlfn.IFS(_xlfn.TEXTAFTER(L170," ",1) = "Days", _xlfn.NUMBERVALUE(_xlfn.TEXTBEFORE(L170," ",1)), L170="18 Months", 547, _xlfn.TEXTAFTER(L170," ",1) = "Years", _xlfn.NUMBERVALUE(_xlfn.TEXTBEFORE(L170," ",1))*365), "")</f>
        <v>46252</v>
      </c>
      <c r="P170" s="49"/>
      <c r="Q170" s="15"/>
    </row>
    <row r="171" spans="2:17" ht="16.3" x14ac:dyDescent="0.3">
      <c r="B171" s="15"/>
      <c r="C171" s="15"/>
      <c r="D171" s="15"/>
      <c r="E171" s="15" t="s">
        <v>27</v>
      </c>
      <c r="F171" s="22"/>
      <c r="G171" s="26"/>
      <c r="H171" s="15"/>
      <c r="I171" s="15"/>
      <c r="J171" s="16"/>
      <c r="K171" s="16"/>
      <c r="L171" s="16" t="s">
        <v>27</v>
      </c>
      <c r="M171" s="16"/>
      <c r="N171" s="27"/>
      <c r="O171" s="48" t="str" cm="1">
        <f t="array" ref="O171" xml:space="preserve"> IF(AND($L171 &lt;&gt; "", $L171 &lt;&gt; "Removed"), N171 + _xlfn.IFS(_xlfn.TEXTAFTER(L171," ",1) = "Days", _xlfn.NUMBERVALUE(_xlfn.TEXTBEFORE(L171," ",1)), L171="18 Months", 547, _xlfn.TEXTAFTER(L171," ",1) = "Years", _xlfn.NUMBERVALUE(_xlfn.TEXTBEFORE(L171," ",1))*365), "")</f>
        <v/>
      </c>
      <c r="P171" s="49"/>
      <c r="Q171" s="15"/>
    </row>
    <row r="172" spans="2:17" ht="16.3" x14ac:dyDescent="0.3">
      <c r="B172" s="15" t="s">
        <v>92</v>
      </c>
      <c r="C172" s="15" t="s">
        <v>94</v>
      </c>
      <c r="D172" s="15"/>
      <c r="E172" s="15" t="s">
        <v>142</v>
      </c>
      <c r="F172" s="22" t="s">
        <v>100</v>
      </c>
      <c r="G172" s="26" t="s">
        <v>153</v>
      </c>
      <c r="H172" s="15"/>
      <c r="I172" s="15"/>
      <c r="J172" s="16" t="s">
        <v>19</v>
      </c>
      <c r="K172" s="16">
        <v>1</v>
      </c>
      <c r="L172" s="16" t="s">
        <v>32</v>
      </c>
      <c r="M172" s="16">
        <v>28177</v>
      </c>
      <c r="N172" s="27">
        <v>46035</v>
      </c>
      <c r="O172" s="48" cm="1">
        <f t="array" ref="O172" xml:space="preserve"> IF(AND($L172 &lt;&gt; "", $L172 &lt;&gt; "Removed"), N172 + _xlfn.IFS(_xlfn.TEXTAFTER(L172," ",1) = "Days", _xlfn.NUMBERVALUE(_xlfn.TEXTBEFORE(L172," ",1)), L172="18 Months", 547, _xlfn.TEXTAFTER(L172," ",1) = "Years", _xlfn.NUMBERVALUE(_xlfn.TEXTBEFORE(L172," ",1))*365), "")</f>
        <v>46215</v>
      </c>
      <c r="P172" s="49">
        <v>28177</v>
      </c>
      <c r="Q172" s="15"/>
    </row>
    <row r="173" spans="2:17" ht="16.3" x14ac:dyDescent="0.3">
      <c r="B173" s="15" t="s">
        <v>92</v>
      </c>
      <c r="C173" s="15" t="s">
        <v>94</v>
      </c>
      <c r="D173" s="15"/>
      <c r="E173" s="15" t="s">
        <v>223</v>
      </c>
      <c r="F173" s="22" t="s">
        <v>100</v>
      </c>
      <c r="G173" s="26" t="s">
        <v>154</v>
      </c>
      <c r="H173" s="15"/>
      <c r="I173" s="15"/>
      <c r="J173" s="16" t="s">
        <v>212</v>
      </c>
      <c r="K173" s="16">
        <v>1</v>
      </c>
      <c r="L173" s="16" t="s">
        <v>24</v>
      </c>
      <c r="M173" s="16">
        <v>11308</v>
      </c>
      <c r="N173" s="27">
        <v>45887</v>
      </c>
      <c r="O173" s="48" cm="1">
        <f t="array" ref="O173" xml:space="preserve"> IF(AND($L173 &lt;&gt; "", $L173 &lt;&gt; "Removed"), N173 + _xlfn.IFS(_xlfn.TEXTAFTER(L173," ",1) = "Days", _xlfn.NUMBERVALUE(_xlfn.TEXTBEFORE(L173," ",1)), L173="18 Months", 547, _xlfn.TEXTAFTER(L173," ",1) = "Years", _xlfn.NUMBERVALUE(_xlfn.TEXTBEFORE(L173," ",1))*365), "")</f>
        <v>46252</v>
      </c>
      <c r="P173" s="49"/>
      <c r="Q173" s="15"/>
    </row>
    <row r="174" spans="2:17" ht="16.3" x14ac:dyDescent="0.3">
      <c r="B174" s="15"/>
      <c r="C174" s="15"/>
      <c r="D174" s="15"/>
      <c r="E174" s="15" t="s">
        <v>27</v>
      </c>
      <c r="F174" s="22"/>
      <c r="G174" s="26"/>
      <c r="H174" s="15"/>
      <c r="I174" s="15"/>
      <c r="J174" s="16"/>
      <c r="K174" s="16"/>
      <c r="L174" s="16" t="s">
        <v>27</v>
      </c>
      <c r="M174" s="16"/>
      <c r="N174" s="27"/>
      <c r="O174" s="48" t="str" cm="1">
        <f t="array" ref="O174" xml:space="preserve"> IF(AND($L174 &lt;&gt; "", $L174 &lt;&gt; "Removed"), N174 + _xlfn.IFS(_xlfn.TEXTAFTER(L174," ",1) = "Days", _xlfn.NUMBERVALUE(_xlfn.TEXTBEFORE(L174," ",1)), L174="18 Months", 547, _xlfn.TEXTAFTER(L174," ",1) = "Years", _xlfn.NUMBERVALUE(_xlfn.TEXTBEFORE(L174," ",1))*365), "")</f>
        <v/>
      </c>
      <c r="P174" s="49"/>
      <c r="Q174" s="15"/>
    </row>
    <row r="175" spans="2:17" ht="16.3" x14ac:dyDescent="0.3">
      <c r="B175" s="15" t="s">
        <v>92</v>
      </c>
      <c r="C175" s="15" t="s">
        <v>94</v>
      </c>
      <c r="D175" s="15"/>
      <c r="E175" s="15" t="s">
        <v>142</v>
      </c>
      <c r="F175" s="22" t="s">
        <v>101</v>
      </c>
      <c r="G175" s="26" t="s">
        <v>153</v>
      </c>
      <c r="H175" s="15"/>
      <c r="I175" s="15"/>
      <c r="J175" s="16" t="s">
        <v>19</v>
      </c>
      <c r="K175" s="16">
        <v>1</v>
      </c>
      <c r="L175" s="16" t="s">
        <v>32</v>
      </c>
      <c r="M175" s="16">
        <v>28177</v>
      </c>
      <c r="N175" s="27">
        <v>46035</v>
      </c>
      <c r="O175" s="48" cm="1">
        <f t="array" ref="O175" xml:space="preserve"> IF(AND($L175 &lt;&gt; "", $L175 &lt;&gt; "Removed"), N175 + _xlfn.IFS(_xlfn.TEXTAFTER(L175," ",1) = "Days", _xlfn.NUMBERVALUE(_xlfn.TEXTBEFORE(L175," ",1)), L175="18 Months", 547, _xlfn.TEXTAFTER(L175," ",1) = "Years", _xlfn.NUMBERVALUE(_xlfn.TEXTBEFORE(L175," ",1))*365), "")</f>
        <v>46215</v>
      </c>
      <c r="P175" s="49">
        <v>28177</v>
      </c>
      <c r="Q175" s="15"/>
    </row>
    <row r="176" spans="2:17" ht="16.3" x14ac:dyDescent="0.3">
      <c r="B176" s="15" t="s">
        <v>92</v>
      </c>
      <c r="C176" s="15" t="s">
        <v>94</v>
      </c>
      <c r="D176" s="15"/>
      <c r="E176" s="15" t="s">
        <v>223</v>
      </c>
      <c r="F176" s="22" t="s">
        <v>101</v>
      </c>
      <c r="G176" s="26" t="s">
        <v>154</v>
      </c>
      <c r="H176" s="15"/>
      <c r="I176" s="15"/>
      <c r="J176" s="16" t="s">
        <v>212</v>
      </c>
      <c r="K176" s="16">
        <v>1</v>
      </c>
      <c r="L176" s="16" t="s">
        <v>24</v>
      </c>
      <c r="M176" s="16">
        <v>11308</v>
      </c>
      <c r="N176" s="27">
        <v>45887</v>
      </c>
      <c r="O176" s="48" cm="1">
        <f t="array" ref="O176" xml:space="preserve"> IF(AND($L176 &lt;&gt; "", $L176 &lt;&gt; "Removed"), N176 + _xlfn.IFS(_xlfn.TEXTAFTER(L176," ",1) = "Days", _xlfn.NUMBERVALUE(_xlfn.TEXTBEFORE(L176," ",1)), L176="18 Months", 547, _xlfn.TEXTAFTER(L176," ",1) = "Years", _xlfn.NUMBERVALUE(_xlfn.TEXTBEFORE(L176," ",1))*365), "")</f>
        <v>46252</v>
      </c>
      <c r="P176" s="49"/>
      <c r="Q176" s="15"/>
    </row>
    <row r="177" spans="2:17" ht="16.3" x14ac:dyDescent="0.3">
      <c r="B177" s="15"/>
      <c r="C177" s="15"/>
      <c r="D177" s="15"/>
      <c r="E177" s="15" t="s">
        <v>27</v>
      </c>
      <c r="F177" s="22"/>
      <c r="G177" s="26"/>
      <c r="H177" s="15"/>
      <c r="I177" s="15"/>
      <c r="J177" s="16"/>
      <c r="K177" s="16"/>
      <c r="L177" s="16" t="s">
        <v>27</v>
      </c>
      <c r="M177" s="16"/>
      <c r="N177" s="27"/>
      <c r="O177" s="48" t="str" cm="1">
        <f t="array" ref="O177" xml:space="preserve"> IF(AND($L177 &lt;&gt; "", $L177 &lt;&gt; "Removed"), N177 + _xlfn.IFS(_xlfn.TEXTAFTER(L177," ",1) = "Days", _xlfn.NUMBERVALUE(_xlfn.TEXTBEFORE(L177," ",1)), L177="18 Months", 547, _xlfn.TEXTAFTER(L177," ",1) = "Years", _xlfn.NUMBERVALUE(_xlfn.TEXTBEFORE(L177," ",1))*365), "")</f>
        <v/>
      </c>
      <c r="P177" s="49"/>
      <c r="Q177" s="15"/>
    </row>
    <row r="178" spans="2:17" ht="16.3" x14ac:dyDescent="0.3">
      <c r="B178" s="15" t="s">
        <v>92</v>
      </c>
      <c r="C178" s="15" t="s">
        <v>94</v>
      </c>
      <c r="D178" s="15"/>
      <c r="E178" s="15" t="s">
        <v>142</v>
      </c>
      <c r="F178" s="22" t="s">
        <v>102</v>
      </c>
      <c r="G178" s="26" t="s">
        <v>153</v>
      </c>
      <c r="H178" s="15"/>
      <c r="I178" s="15"/>
      <c r="J178" s="16" t="s">
        <v>19</v>
      </c>
      <c r="K178" s="16">
        <v>1</v>
      </c>
      <c r="L178" s="16" t="s">
        <v>32</v>
      </c>
      <c r="M178" s="16">
        <v>28177</v>
      </c>
      <c r="N178" s="27">
        <v>46035</v>
      </c>
      <c r="O178" s="48" cm="1">
        <f t="array" ref="O178" xml:space="preserve"> IF(AND($L178 &lt;&gt; "", $L178 &lt;&gt; "Removed"), N178 + _xlfn.IFS(_xlfn.TEXTAFTER(L178," ",1) = "Days", _xlfn.NUMBERVALUE(_xlfn.TEXTBEFORE(L178," ",1)), L178="18 Months", 547, _xlfn.TEXTAFTER(L178," ",1) = "Years", _xlfn.NUMBERVALUE(_xlfn.TEXTBEFORE(L178," ",1))*365), "")</f>
        <v>46215</v>
      </c>
      <c r="P178" s="49">
        <v>28177</v>
      </c>
      <c r="Q178" s="15"/>
    </row>
    <row r="179" spans="2:17" ht="16.3" x14ac:dyDescent="0.3">
      <c r="B179" s="15" t="s">
        <v>92</v>
      </c>
      <c r="C179" s="15" t="s">
        <v>94</v>
      </c>
      <c r="D179" s="15"/>
      <c r="E179" s="15" t="s">
        <v>223</v>
      </c>
      <c r="F179" s="22" t="s">
        <v>102</v>
      </c>
      <c r="G179" s="26" t="s">
        <v>154</v>
      </c>
      <c r="H179" s="15"/>
      <c r="I179" s="15"/>
      <c r="J179" s="16" t="s">
        <v>212</v>
      </c>
      <c r="K179" s="16">
        <v>1</v>
      </c>
      <c r="L179" s="16" t="s">
        <v>24</v>
      </c>
      <c r="M179" s="16">
        <v>11308</v>
      </c>
      <c r="N179" s="27">
        <v>45887</v>
      </c>
      <c r="O179" s="48" cm="1">
        <f t="array" ref="O179" xml:space="preserve"> IF(AND($L179 &lt;&gt; "", $L179 &lt;&gt; "Removed"), N179 + _xlfn.IFS(_xlfn.TEXTAFTER(L179," ",1) = "Days", _xlfn.NUMBERVALUE(_xlfn.TEXTBEFORE(L179," ",1)), L179="18 Months", 547, _xlfn.TEXTAFTER(L179," ",1) = "Years", _xlfn.NUMBERVALUE(_xlfn.TEXTBEFORE(L179," ",1))*365), "")</f>
        <v>46252</v>
      </c>
      <c r="P179" s="49"/>
      <c r="Q179" s="15"/>
    </row>
    <row r="180" spans="2:17" ht="16.3" x14ac:dyDescent="0.3">
      <c r="B180" s="15"/>
      <c r="C180" s="15"/>
      <c r="D180" s="15"/>
      <c r="E180" s="15" t="s">
        <v>27</v>
      </c>
      <c r="F180" s="22"/>
      <c r="G180" s="26"/>
      <c r="H180" s="15"/>
      <c r="I180" s="15"/>
      <c r="J180" s="16"/>
      <c r="K180" s="16"/>
      <c r="L180" s="16" t="s">
        <v>27</v>
      </c>
      <c r="M180" s="16"/>
      <c r="N180" s="27"/>
      <c r="O180" s="48" t="str" cm="1">
        <f t="array" ref="O180" xml:space="preserve"> IF(AND($L180 &lt;&gt; "", $L180 &lt;&gt; "Removed"), N180 + _xlfn.IFS(_xlfn.TEXTAFTER(L180," ",1) = "Days", _xlfn.NUMBERVALUE(_xlfn.TEXTBEFORE(L180," ",1)), L180="18 Months", 547, _xlfn.TEXTAFTER(L180," ",1) = "Years", _xlfn.NUMBERVALUE(_xlfn.TEXTBEFORE(L180," ",1))*365), "")</f>
        <v/>
      </c>
      <c r="P180" s="49"/>
      <c r="Q180" s="15"/>
    </row>
    <row r="181" spans="2:17" ht="16.3" x14ac:dyDescent="0.3">
      <c r="B181" s="15" t="s">
        <v>92</v>
      </c>
      <c r="C181" s="15" t="s">
        <v>94</v>
      </c>
      <c r="D181" s="15"/>
      <c r="E181" s="15" t="s">
        <v>142</v>
      </c>
      <c r="F181" s="22" t="s">
        <v>103</v>
      </c>
      <c r="G181" s="26" t="s">
        <v>153</v>
      </c>
      <c r="H181" s="15"/>
      <c r="I181" s="15"/>
      <c r="J181" s="16" t="s">
        <v>19</v>
      </c>
      <c r="K181" s="16">
        <v>1</v>
      </c>
      <c r="L181" s="16" t="s">
        <v>32</v>
      </c>
      <c r="M181" s="16">
        <v>28177</v>
      </c>
      <c r="N181" s="27">
        <v>46035</v>
      </c>
      <c r="O181" s="48" cm="1">
        <f t="array" ref="O181" xml:space="preserve"> IF(AND($L181 &lt;&gt; "", $L181 &lt;&gt; "Removed"), N181 + _xlfn.IFS(_xlfn.TEXTAFTER(L181," ",1) = "Days", _xlfn.NUMBERVALUE(_xlfn.TEXTBEFORE(L181," ",1)), L181="18 Months", 547, _xlfn.TEXTAFTER(L181," ",1) = "Years", _xlfn.NUMBERVALUE(_xlfn.TEXTBEFORE(L181," ",1))*365), "")</f>
        <v>46215</v>
      </c>
      <c r="P181" s="49">
        <v>28177</v>
      </c>
      <c r="Q181" s="15"/>
    </row>
    <row r="182" spans="2:17" ht="16.3" x14ac:dyDescent="0.3">
      <c r="B182" s="15" t="s">
        <v>92</v>
      </c>
      <c r="C182" s="15" t="s">
        <v>94</v>
      </c>
      <c r="D182" s="15"/>
      <c r="E182" s="15" t="s">
        <v>223</v>
      </c>
      <c r="F182" s="22" t="s">
        <v>103</v>
      </c>
      <c r="G182" s="26" t="s">
        <v>154</v>
      </c>
      <c r="H182" s="15"/>
      <c r="I182" s="15"/>
      <c r="J182" s="16" t="s">
        <v>212</v>
      </c>
      <c r="K182" s="16">
        <v>1</v>
      </c>
      <c r="L182" s="16" t="s">
        <v>24</v>
      </c>
      <c r="M182" s="16">
        <v>11308</v>
      </c>
      <c r="N182" s="27">
        <v>45887</v>
      </c>
      <c r="O182" s="48" cm="1">
        <f t="array" ref="O182" xml:space="preserve"> IF(AND($L182 &lt;&gt; "", $L182 &lt;&gt; "Removed"), N182 + _xlfn.IFS(_xlfn.TEXTAFTER(L182," ",1) = "Days", _xlfn.NUMBERVALUE(_xlfn.TEXTBEFORE(L182," ",1)), L182="18 Months", 547, _xlfn.TEXTAFTER(L182," ",1) = "Years", _xlfn.NUMBERVALUE(_xlfn.TEXTBEFORE(L182," ",1))*365), "")</f>
        <v>46252</v>
      </c>
      <c r="P182" s="49"/>
      <c r="Q182" s="15"/>
    </row>
    <row r="183" spans="2:17" ht="16.3" x14ac:dyDescent="0.3">
      <c r="B183" s="15"/>
      <c r="C183" s="15"/>
      <c r="D183" s="15"/>
      <c r="E183" s="15" t="s">
        <v>27</v>
      </c>
      <c r="F183" s="22"/>
      <c r="G183" s="26"/>
      <c r="H183" s="15"/>
      <c r="I183" s="15"/>
      <c r="J183" s="16"/>
      <c r="K183" s="16"/>
      <c r="L183" s="16" t="s">
        <v>27</v>
      </c>
      <c r="M183" s="16"/>
      <c r="N183" s="27"/>
      <c r="O183" s="48" t="str" cm="1">
        <f t="array" ref="O183" xml:space="preserve"> IF(AND($L183 &lt;&gt; "", $L183 &lt;&gt; "Removed"), N183 + _xlfn.IFS(_xlfn.TEXTAFTER(L183," ",1) = "Days", _xlfn.NUMBERVALUE(_xlfn.TEXTBEFORE(L183," ",1)), L183="18 Months", 547, _xlfn.TEXTAFTER(L183," ",1) = "Years", _xlfn.NUMBERVALUE(_xlfn.TEXTBEFORE(L183," ",1))*365), "")</f>
        <v/>
      </c>
      <c r="P183" s="49"/>
      <c r="Q183" s="15"/>
    </row>
    <row r="184" spans="2:17" ht="16.3" x14ac:dyDescent="0.3">
      <c r="B184" s="15" t="s">
        <v>92</v>
      </c>
      <c r="C184" s="15" t="s">
        <v>95</v>
      </c>
      <c r="D184" s="15"/>
      <c r="E184" s="15" t="s">
        <v>142</v>
      </c>
      <c r="F184" s="22" t="s">
        <v>104</v>
      </c>
      <c r="G184" s="26" t="s">
        <v>153</v>
      </c>
      <c r="H184" s="15"/>
      <c r="I184" s="15"/>
      <c r="J184" s="16" t="s">
        <v>19</v>
      </c>
      <c r="K184" s="16">
        <v>1</v>
      </c>
      <c r="L184" s="16" t="s">
        <v>32</v>
      </c>
      <c r="M184" s="16">
        <v>28177</v>
      </c>
      <c r="N184" s="27">
        <v>46035</v>
      </c>
      <c r="O184" s="48" cm="1">
        <f t="array" ref="O184" xml:space="preserve"> IF(AND($L184 &lt;&gt; "", $L184 &lt;&gt; "Removed"), N184 + _xlfn.IFS(_xlfn.TEXTAFTER(L184," ",1) = "Days", _xlfn.NUMBERVALUE(_xlfn.TEXTBEFORE(L184," ",1)), L184="18 Months", 547, _xlfn.TEXTAFTER(L184," ",1) = "Years", _xlfn.NUMBERVALUE(_xlfn.TEXTBEFORE(L184," ",1))*365), "")</f>
        <v>46215</v>
      </c>
      <c r="P184" s="49">
        <v>28177</v>
      </c>
      <c r="Q184" s="15"/>
    </row>
    <row r="185" spans="2:17" ht="16.3" x14ac:dyDescent="0.3">
      <c r="B185" s="15" t="s">
        <v>92</v>
      </c>
      <c r="C185" s="15" t="s">
        <v>95</v>
      </c>
      <c r="D185" s="15"/>
      <c r="E185" s="15" t="s">
        <v>223</v>
      </c>
      <c r="F185" s="22" t="s">
        <v>104</v>
      </c>
      <c r="G185" s="26" t="s">
        <v>154</v>
      </c>
      <c r="H185" s="15"/>
      <c r="I185" s="15"/>
      <c r="J185" s="16" t="s">
        <v>212</v>
      </c>
      <c r="K185" s="16">
        <v>1</v>
      </c>
      <c r="L185" s="16" t="s">
        <v>24</v>
      </c>
      <c r="M185" s="16">
        <v>11308</v>
      </c>
      <c r="N185" s="27">
        <v>45887</v>
      </c>
      <c r="O185" s="48" cm="1">
        <f t="array" ref="O185" xml:space="preserve"> IF(AND($L185 &lt;&gt; "", $L185 &lt;&gt; "Removed"), N185 + _xlfn.IFS(_xlfn.TEXTAFTER(L185," ",1) = "Days", _xlfn.NUMBERVALUE(_xlfn.TEXTBEFORE(L185," ",1)), L185="18 Months", 547, _xlfn.TEXTAFTER(L185," ",1) = "Years", _xlfn.NUMBERVALUE(_xlfn.TEXTBEFORE(L185," ",1))*365), "")</f>
        <v>46252</v>
      </c>
      <c r="P185" s="49"/>
      <c r="Q185" s="15"/>
    </row>
    <row r="186" spans="2:17" ht="16.3" x14ac:dyDescent="0.3">
      <c r="B186" s="15"/>
      <c r="C186" s="15"/>
      <c r="D186" s="15"/>
      <c r="E186" s="15" t="s">
        <v>27</v>
      </c>
      <c r="F186" s="22"/>
      <c r="G186" s="26"/>
      <c r="H186" s="15"/>
      <c r="I186" s="15"/>
      <c r="J186" s="16"/>
      <c r="K186" s="16"/>
      <c r="L186" s="16" t="s">
        <v>27</v>
      </c>
      <c r="M186" s="16"/>
      <c r="N186" s="27"/>
      <c r="O186" s="48" t="str" cm="1">
        <f t="array" ref="O186" xml:space="preserve"> IF(AND($L186 &lt;&gt; "", $L186 &lt;&gt; "Removed"), N186 + _xlfn.IFS(_xlfn.TEXTAFTER(L186," ",1) = "Days", _xlfn.NUMBERVALUE(_xlfn.TEXTBEFORE(L186," ",1)), L186="18 Months", 547, _xlfn.TEXTAFTER(L186," ",1) = "Years", _xlfn.NUMBERVALUE(_xlfn.TEXTBEFORE(L186," ",1))*365), "")</f>
        <v/>
      </c>
      <c r="P186" s="49"/>
      <c r="Q186" s="15"/>
    </row>
    <row r="187" spans="2:17" ht="16.3" x14ac:dyDescent="0.3">
      <c r="B187" s="15" t="s">
        <v>92</v>
      </c>
      <c r="C187" s="15" t="s">
        <v>95</v>
      </c>
      <c r="D187" s="15"/>
      <c r="E187" s="15" t="s">
        <v>142</v>
      </c>
      <c r="F187" s="22" t="s">
        <v>105</v>
      </c>
      <c r="G187" s="26" t="s">
        <v>153</v>
      </c>
      <c r="H187" s="15"/>
      <c r="I187" s="15"/>
      <c r="J187" s="16" t="s">
        <v>18</v>
      </c>
      <c r="K187" s="16">
        <v>2</v>
      </c>
      <c r="L187" s="16" t="s">
        <v>32</v>
      </c>
      <c r="M187" s="16">
        <v>28177</v>
      </c>
      <c r="N187" s="27">
        <v>46035</v>
      </c>
      <c r="O187" s="48" cm="1">
        <f t="array" ref="O187" xml:space="preserve"> IF(AND($L187 &lt;&gt; "", $L187 &lt;&gt; "Removed"), N187 + _xlfn.IFS(_xlfn.TEXTAFTER(L187," ",1) = "Days", _xlfn.NUMBERVALUE(_xlfn.TEXTBEFORE(L187," ",1)), L187="18 Months", 547, _xlfn.TEXTAFTER(L187," ",1) = "Years", _xlfn.NUMBERVALUE(_xlfn.TEXTBEFORE(L187," ",1))*365), "")</f>
        <v>46215</v>
      </c>
      <c r="P187" s="49">
        <v>28177</v>
      </c>
      <c r="Q187" s="15"/>
    </row>
    <row r="188" spans="2:17" ht="16.3" x14ac:dyDescent="0.3">
      <c r="B188" s="15" t="s">
        <v>92</v>
      </c>
      <c r="C188" s="15" t="s">
        <v>95</v>
      </c>
      <c r="D188" s="15"/>
      <c r="E188" s="15" t="s">
        <v>142</v>
      </c>
      <c r="F188" s="22" t="s">
        <v>105</v>
      </c>
      <c r="G188" s="26" t="s">
        <v>153</v>
      </c>
      <c r="H188" s="15"/>
      <c r="I188" s="15"/>
      <c r="J188" s="16" t="s">
        <v>21</v>
      </c>
      <c r="K188" s="16">
        <v>1</v>
      </c>
      <c r="L188" s="16" t="s">
        <v>32</v>
      </c>
      <c r="M188" s="16">
        <v>28177</v>
      </c>
      <c r="N188" s="27">
        <v>46035</v>
      </c>
      <c r="O188" s="48" cm="1">
        <f t="array" ref="O188" xml:space="preserve"> IF(AND($L188 &lt;&gt; "", $L188 &lt;&gt; "Removed"), N188 + _xlfn.IFS(_xlfn.TEXTAFTER(L188," ",1) = "Days", _xlfn.NUMBERVALUE(_xlfn.TEXTBEFORE(L188," ",1)), L188="18 Months", 547, _xlfn.TEXTAFTER(L188," ",1) = "Years", _xlfn.NUMBERVALUE(_xlfn.TEXTBEFORE(L188," ",1))*365), "")</f>
        <v>46215</v>
      </c>
      <c r="P188" s="49">
        <v>28177</v>
      </c>
      <c r="Q188" s="15"/>
    </row>
    <row r="189" spans="2:17" ht="16.3" x14ac:dyDescent="0.3">
      <c r="B189" s="15" t="s">
        <v>92</v>
      </c>
      <c r="C189" s="15" t="s">
        <v>95</v>
      </c>
      <c r="D189" s="15"/>
      <c r="E189" s="15" t="s">
        <v>223</v>
      </c>
      <c r="F189" s="22" t="s">
        <v>105</v>
      </c>
      <c r="G189" s="26" t="s">
        <v>154</v>
      </c>
      <c r="H189" s="15"/>
      <c r="I189" s="15"/>
      <c r="J189" s="16" t="s">
        <v>211</v>
      </c>
      <c r="K189" s="16">
        <v>2</v>
      </c>
      <c r="L189" s="16" t="s">
        <v>24</v>
      </c>
      <c r="M189" s="16">
        <v>11308</v>
      </c>
      <c r="N189" s="27">
        <v>45887</v>
      </c>
      <c r="O189" s="48" cm="1">
        <f t="array" ref="O189" xml:space="preserve"> IF(AND($L189 &lt;&gt; "", $L189 &lt;&gt; "Removed"), N189 + _xlfn.IFS(_xlfn.TEXTAFTER(L189," ",1) = "Days", _xlfn.NUMBERVALUE(_xlfn.TEXTBEFORE(L189," ",1)), L189="18 Months", 547, _xlfn.TEXTAFTER(L189," ",1) = "Years", _xlfn.NUMBERVALUE(_xlfn.TEXTBEFORE(L189," ",1))*365), "")</f>
        <v>46252</v>
      </c>
      <c r="P189" s="49"/>
      <c r="Q189" s="15"/>
    </row>
    <row r="190" spans="2:17" ht="16.3" x14ac:dyDescent="0.3">
      <c r="B190" s="15" t="s">
        <v>92</v>
      </c>
      <c r="C190" s="15" t="s">
        <v>95</v>
      </c>
      <c r="D190" s="15"/>
      <c r="E190" s="15" t="s">
        <v>223</v>
      </c>
      <c r="F190" s="22" t="s">
        <v>105</v>
      </c>
      <c r="G190" s="26" t="s">
        <v>154</v>
      </c>
      <c r="H190" s="15"/>
      <c r="I190" s="15"/>
      <c r="J190" s="16" t="s">
        <v>213</v>
      </c>
      <c r="K190" s="16">
        <v>1</v>
      </c>
      <c r="L190" s="16" t="s">
        <v>24</v>
      </c>
      <c r="M190" s="16">
        <v>11308</v>
      </c>
      <c r="N190" s="27">
        <v>45887</v>
      </c>
      <c r="O190" s="48" cm="1">
        <f t="array" ref="O190" xml:space="preserve"> IF(AND($L190 &lt;&gt; "", $L190 &lt;&gt; "Removed"), N190 + _xlfn.IFS(_xlfn.TEXTAFTER(L190," ",1) = "Days", _xlfn.NUMBERVALUE(_xlfn.TEXTBEFORE(L190," ",1)), L190="18 Months", 547, _xlfn.TEXTAFTER(L190," ",1) = "Years", _xlfn.NUMBERVALUE(_xlfn.TEXTBEFORE(L190," ",1))*365), "")</f>
        <v>46252</v>
      </c>
      <c r="P190" s="49"/>
      <c r="Q190" s="15"/>
    </row>
    <row r="191" spans="2:17" ht="16.3" x14ac:dyDescent="0.3">
      <c r="B191" s="15"/>
      <c r="C191" s="15"/>
      <c r="D191" s="15"/>
      <c r="E191" s="15" t="s">
        <v>27</v>
      </c>
      <c r="F191" s="22"/>
      <c r="G191" s="26"/>
      <c r="H191" s="15"/>
      <c r="I191" s="15"/>
      <c r="J191" s="16"/>
      <c r="K191" s="16"/>
      <c r="L191" s="16" t="s">
        <v>27</v>
      </c>
      <c r="M191" s="16"/>
      <c r="N191" s="27"/>
      <c r="O191" s="48" t="str" cm="1">
        <f t="array" ref="O191" xml:space="preserve"> IF(AND($L191 &lt;&gt; "", $L191 &lt;&gt; "Removed"), N191 + _xlfn.IFS(_xlfn.TEXTAFTER(L191," ",1) = "Days", _xlfn.NUMBERVALUE(_xlfn.TEXTBEFORE(L191," ",1)), L191="18 Months", 547, _xlfn.TEXTAFTER(L191," ",1) = "Years", _xlfn.NUMBERVALUE(_xlfn.TEXTBEFORE(L191," ",1))*365), "")</f>
        <v/>
      </c>
      <c r="P191" s="49"/>
      <c r="Q191" s="15"/>
    </row>
    <row r="192" spans="2:17" ht="16.3" x14ac:dyDescent="0.3">
      <c r="B192" s="15" t="s">
        <v>92</v>
      </c>
      <c r="C192" s="15" t="s">
        <v>95</v>
      </c>
      <c r="D192" s="15"/>
      <c r="E192" s="15" t="s">
        <v>142</v>
      </c>
      <c r="F192" s="22" t="s">
        <v>106</v>
      </c>
      <c r="G192" s="26" t="s">
        <v>153</v>
      </c>
      <c r="H192" s="15"/>
      <c r="I192" s="15"/>
      <c r="J192" s="16" t="s">
        <v>21</v>
      </c>
      <c r="K192" s="16">
        <v>2</v>
      </c>
      <c r="L192" s="16" t="s">
        <v>32</v>
      </c>
      <c r="M192" s="16">
        <v>28177</v>
      </c>
      <c r="N192" s="27">
        <v>46035</v>
      </c>
      <c r="O192" s="48" cm="1">
        <f t="array" ref="O192" xml:space="preserve"> IF(AND($L192 &lt;&gt; "", $L192 &lt;&gt; "Removed"), N192 + _xlfn.IFS(_xlfn.TEXTAFTER(L192," ",1) = "Days", _xlfn.NUMBERVALUE(_xlfn.TEXTBEFORE(L192," ",1)), L192="18 Months", 547, _xlfn.TEXTAFTER(L192," ",1) = "Years", _xlfn.NUMBERVALUE(_xlfn.TEXTBEFORE(L192," ",1))*365), "")</f>
        <v>46215</v>
      </c>
      <c r="P192" s="49">
        <v>28177</v>
      </c>
      <c r="Q192" s="15"/>
    </row>
    <row r="193" spans="2:17" ht="16.3" x14ac:dyDescent="0.3">
      <c r="B193" s="15" t="s">
        <v>92</v>
      </c>
      <c r="C193" s="15" t="s">
        <v>95</v>
      </c>
      <c r="D193" s="15"/>
      <c r="E193" s="15" t="s">
        <v>223</v>
      </c>
      <c r="F193" s="22" t="s">
        <v>106</v>
      </c>
      <c r="G193" s="26" t="s">
        <v>154</v>
      </c>
      <c r="H193" s="15"/>
      <c r="I193" s="15"/>
      <c r="J193" s="16" t="s">
        <v>213</v>
      </c>
      <c r="K193" s="16">
        <v>2</v>
      </c>
      <c r="L193" s="16" t="s">
        <v>24</v>
      </c>
      <c r="M193" s="16">
        <v>11308</v>
      </c>
      <c r="N193" s="27">
        <v>45887</v>
      </c>
      <c r="O193" s="48" cm="1">
        <f t="array" ref="O193" xml:space="preserve"> IF(AND($L193 &lt;&gt; "", $L193 &lt;&gt; "Removed"), N193 + _xlfn.IFS(_xlfn.TEXTAFTER(L193," ",1) = "Days", _xlfn.NUMBERVALUE(_xlfn.TEXTBEFORE(L193," ",1)), L193="18 Months", 547, _xlfn.TEXTAFTER(L193," ",1) = "Years", _xlfn.NUMBERVALUE(_xlfn.TEXTBEFORE(L193," ",1))*365), "")</f>
        <v>46252</v>
      </c>
      <c r="P193" s="49"/>
      <c r="Q193" s="15"/>
    </row>
    <row r="194" spans="2:17" ht="16.3" x14ac:dyDescent="0.3">
      <c r="B194" s="15"/>
      <c r="C194" s="15"/>
      <c r="D194" s="15"/>
      <c r="E194" s="15" t="s">
        <v>27</v>
      </c>
      <c r="F194" s="22"/>
      <c r="G194" s="26"/>
      <c r="H194" s="15"/>
      <c r="I194" s="15"/>
      <c r="J194" s="16"/>
      <c r="K194" s="16"/>
      <c r="L194" s="16" t="s">
        <v>27</v>
      </c>
      <c r="M194" s="16"/>
      <c r="N194" s="27"/>
      <c r="O194" s="48" t="str" cm="1">
        <f t="array" ref="O194" xml:space="preserve"> IF(AND($L194 &lt;&gt; "", $L194 &lt;&gt; "Removed"), N194 + _xlfn.IFS(_xlfn.TEXTAFTER(L194," ",1) = "Days", _xlfn.NUMBERVALUE(_xlfn.TEXTBEFORE(L194," ",1)), L194="18 Months", 547, _xlfn.TEXTAFTER(L194," ",1) = "Years", _xlfn.NUMBERVALUE(_xlfn.TEXTBEFORE(L194," ",1))*365), "")</f>
        <v/>
      </c>
      <c r="P194" s="49"/>
      <c r="Q194" s="15"/>
    </row>
    <row r="195" spans="2:17" ht="16.3" x14ac:dyDescent="0.3">
      <c r="B195" s="15" t="s">
        <v>92</v>
      </c>
      <c r="C195" s="15" t="s">
        <v>95</v>
      </c>
      <c r="D195" s="15"/>
      <c r="E195" s="15" t="s">
        <v>142</v>
      </c>
      <c r="F195" s="22" t="s">
        <v>107</v>
      </c>
      <c r="G195" s="26" t="s">
        <v>153</v>
      </c>
      <c r="H195" s="15"/>
      <c r="I195" s="15"/>
      <c r="J195" s="16" t="s">
        <v>18</v>
      </c>
      <c r="K195" s="16">
        <v>2</v>
      </c>
      <c r="L195" s="16" t="s">
        <v>32</v>
      </c>
      <c r="M195" s="16">
        <v>28177</v>
      </c>
      <c r="N195" s="27">
        <v>46035</v>
      </c>
      <c r="O195" s="48" cm="1">
        <f t="array" ref="O195" xml:space="preserve"> IF(AND($L195 &lt;&gt; "", $L195 &lt;&gt; "Removed"), N195 + _xlfn.IFS(_xlfn.TEXTAFTER(L195," ",1) = "Days", _xlfn.NUMBERVALUE(_xlfn.TEXTBEFORE(L195," ",1)), L195="18 Months", 547, _xlfn.TEXTAFTER(L195," ",1) = "Years", _xlfn.NUMBERVALUE(_xlfn.TEXTBEFORE(L195," ",1))*365), "")</f>
        <v>46215</v>
      </c>
      <c r="P195" s="49">
        <v>28177</v>
      </c>
      <c r="Q195" s="15"/>
    </row>
    <row r="196" spans="2:17" ht="16.3" x14ac:dyDescent="0.3">
      <c r="B196" s="15" t="s">
        <v>92</v>
      </c>
      <c r="C196" s="15" t="s">
        <v>95</v>
      </c>
      <c r="D196" s="15"/>
      <c r="E196" s="15" t="s">
        <v>142</v>
      </c>
      <c r="F196" s="22" t="s">
        <v>107</v>
      </c>
      <c r="G196" s="26" t="s">
        <v>153</v>
      </c>
      <c r="H196" s="15"/>
      <c r="I196" s="15"/>
      <c r="J196" s="16" t="s">
        <v>21</v>
      </c>
      <c r="K196" s="16">
        <v>1</v>
      </c>
      <c r="L196" s="16" t="s">
        <v>32</v>
      </c>
      <c r="M196" s="16">
        <v>28177</v>
      </c>
      <c r="N196" s="27">
        <v>46035</v>
      </c>
      <c r="O196" s="48" cm="1">
        <f t="array" ref="O196" xml:space="preserve"> IF(AND($L196 &lt;&gt; "", $L196 &lt;&gt; "Removed"), N196 + _xlfn.IFS(_xlfn.TEXTAFTER(L196," ",1) = "Days", _xlfn.NUMBERVALUE(_xlfn.TEXTBEFORE(L196," ",1)), L196="18 Months", 547, _xlfn.TEXTAFTER(L196," ",1) = "Years", _xlfn.NUMBERVALUE(_xlfn.TEXTBEFORE(L196," ",1))*365), "")</f>
        <v>46215</v>
      </c>
      <c r="P196" s="49">
        <v>28177</v>
      </c>
      <c r="Q196" s="15"/>
    </row>
    <row r="197" spans="2:17" ht="16.3" x14ac:dyDescent="0.3">
      <c r="B197" s="15" t="s">
        <v>92</v>
      </c>
      <c r="C197" s="15" t="s">
        <v>95</v>
      </c>
      <c r="D197" s="15"/>
      <c r="E197" s="15" t="s">
        <v>223</v>
      </c>
      <c r="F197" s="22" t="s">
        <v>107</v>
      </c>
      <c r="G197" s="26" t="s">
        <v>154</v>
      </c>
      <c r="H197" s="15"/>
      <c r="I197" s="15"/>
      <c r="J197" s="16" t="s">
        <v>211</v>
      </c>
      <c r="K197" s="16">
        <v>2</v>
      </c>
      <c r="L197" s="16" t="s">
        <v>24</v>
      </c>
      <c r="M197" s="16">
        <v>11308</v>
      </c>
      <c r="N197" s="27">
        <v>45887</v>
      </c>
      <c r="O197" s="48" cm="1">
        <f t="array" ref="O197" xml:space="preserve"> IF(AND($L197 &lt;&gt; "", $L197 &lt;&gt; "Removed"), N197 + _xlfn.IFS(_xlfn.TEXTAFTER(L197," ",1) = "Days", _xlfn.NUMBERVALUE(_xlfn.TEXTBEFORE(L197," ",1)), L197="18 Months", 547, _xlfn.TEXTAFTER(L197," ",1) = "Years", _xlfn.NUMBERVALUE(_xlfn.TEXTBEFORE(L197," ",1))*365), "")</f>
        <v>46252</v>
      </c>
      <c r="P197" s="49"/>
      <c r="Q197" s="15"/>
    </row>
    <row r="198" spans="2:17" ht="16.3" x14ac:dyDescent="0.3">
      <c r="B198" s="15" t="s">
        <v>92</v>
      </c>
      <c r="C198" s="15" t="s">
        <v>95</v>
      </c>
      <c r="D198" s="15"/>
      <c r="E198" s="15" t="s">
        <v>223</v>
      </c>
      <c r="F198" s="22" t="s">
        <v>107</v>
      </c>
      <c r="G198" s="26" t="s">
        <v>154</v>
      </c>
      <c r="H198" s="15"/>
      <c r="I198" s="15"/>
      <c r="J198" s="16" t="s">
        <v>213</v>
      </c>
      <c r="K198" s="16">
        <v>1</v>
      </c>
      <c r="L198" s="16" t="s">
        <v>24</v>
      </c>
      <c r="M198" s="16">
        <v>11308</v>
      </c>
      <c r="N198" s="27">
        <v>45887</v>
      </c>
      <c r="O198" s="48" cm="1">
        <f t="array" ref="O198" xml:space="preserve"> IF(AND($L198 &lt;&gt; "", $L198 &lt;&gt; "Removed"), N198 + _xlfn.IFS(_xlfn.TEXTAFTER(L198," ",1) = "Days", _xlfn.NUMBERVALUE(_xlfn.TEXTBEFORE(L198," ",1)), L198="18 Months", 547, _xlfn.TEXTAFTER(L198," ",1) = "Years", _xlfn.NUMBERVALUE(_xlfn.TEXTBEFORE(L198," ",1))*365), "")</f>
        <v>46252</v>
      </c>
      <c r="P198" s="49"/>
      <c r="Q198" s="15"/>
    </row>
    <row r="199" spans="2:17" ht="16.3" x14ac:dyDescent="0.3">
      <c r="B199" s="15"/>
      <c r="C199" s="15"/>
      <c r="D199" s="15"/>
      <c r="E199" s="15" t="s">
        <v>27</v>
      </c>
      <c r="F199" s="22"/>
      <c r="G199" s="26"/>
      <c r="H199" s="15"/>
      <c r="I199" s="15"/>
      <c r="J199" s="16"/>
      <c r="K199" s="16"/>
      <c r="L199" s="16" t="s">
        <v>27</v>
      </c>
      <c r="M199" s="16"/>
      <c r="N199" s="27"/>
      <c r="O199" s="48" t="str" cm="1">
        <f t="array" ref="O199" xml:space="preserve"> IF(AND($L199 &lt;&gt; "", $L199 &lt;&gt; "Removed"), N199 + _xlfn.IFS(_xlfn.TEXTAFTER(L199," ",1) = "Days", _xlfn.NUMBERVALUE(_xlfn.TEXTBEFORE(L199," ",1)), L199="18 Months", 547, _xlfn.TEXTAFTER(L199," ",1) = "Years", _xlfn.NUMBERVALUE(_xlfn.TEXTBEFORE(L199," ",1))*365), "")</f>
        <v/>
      </c>
      <c r="P199" s="49"/>
      <c r="Q199" s="15"/>
    </row>
    <row r="200" spans="2:17" ht="16.3" x14ac:dyDescent="0.3">
      <c r="B200" s="15" t="s">
        <v>92</v>
      </c>
      <c r="C200" s="15" t="s">
        <v>96</v>
      </c>
      <c r="D200" s="15"/>
      <c r="E200" s="15" t="s">
        <v>142</v>
      </c>
      <c r="F200" s="22" t="s">
        <v>222</v>
      </c>
      <c r="G200" s="26" t="s">
        <v>153</v>
      </c>
      <c r="H200" s="15"/>
      <c r="I200" s="15"/>
      <c r="J200" s="16" t="s">
        <v>18</v>
      </c>
      <c r="K200" s="16">
        <v>16</v>
      </c>
      <c r="L200" s="16" t="s">
        <v>32</v>
      </c>
      <c r="M200" s="16">
        <v>28177</v>
      </c>
      <c r="N200" s="27">
        <v>46035</v>
      </c>
      <c r="O200" s="48" cm="1">
        <f t="array" ref="O200" xml:space="preserve"> IF(AND($L200 &lt;&gt; "", $L200 &lt;&gt; "Removed"), N200 + _xlfn.IFS(_xlfn.TEXTAFTER(L200," ",1) = "Days", _xlfn.NUMBERVALUE(_xlfn.TEXTBEFORE(L200," ",1)), L200="18 Months", 547, _xlfn.TEXTAFTER(L200," ",1) = "Years", _xlfn.NUMBERVALUE(_xlfn.TEXTBEFORE(L200," ",1))*365), "")</f>
        <v>46215</v>
      </c>
      <c r="P200" s="49">
        <v>28177</v>
      </c>
      <c r="Q200" s="15"/>
    </row>
    <row r="201" spans="2:17" ht="16.3" x14ac:dyDescent="0.3">
      <c r="B201" s="15"/>
      <c r="C201" s="15"/>
      <c r="D201" s="15"/>
      <c r="E201" s="15" t="s">
        <v>27</v>
      </c>
      <c r="F201" s="22"/>
      <c r="G201" s="26"/>
      <c r="H201" s="15"/>
      <c r="I201" s="15"/>
      <c r="J201" s="16"/>
      <c r="K201" s="16"/>
      <c r="L201" s="16" t="s">
        <v>27</v>
      </c>
      <c r="M201" s="16"/>
      <c r="N201" s="27"/>
      <c r="O201" s="48" t="str" cm="1">
        <f t="array" ref="O201" xml:space="preserve"> IF(AND($L201 &lt;&gt; "", $L201 &lt;&gt; "Removed"), N201 + _xlfn.IFS(_xlfn.TEXTAFTER(L201," ",1) = "Days", _xlfn.NUMBERVALUE(_xlfn.TEXTBEFORE(L201," ",1)), L201="18 Months", 547, _xlfn.TEXTAFTER(L201," ",1) = "Years", _xlfn.NUMBERVALUE(_xlfn.TEXTBEFORE(L201," ",1))*365), "")</f>
        <v/>
      </c>
      <c r="P201" s="49"/>
      <c r="Q201" s="15"/>
    </row>
    <row r="202" spans="2:17" ht="16.3" x14ac:dyDescent="0.3">
      <c r="B202" s="15" t="s">
        <v>93</v>
      </c>
      <c r="C202" s="15" t="s">
        <v>97</v>
      </c>
      <c r="D202" s="15"/>
      <c r="E202" s="15" t="s">
        <v>142</v>
      </c>
      <c r="F202" s="22" t="s">
        <v>222</v>
      </c>
      <c r="G202" s="26" t="s">
        <v>155</v>
      </c>
      <c r="H202" s="15"/>
      <c r="I202" s="15"/>
      <c r="J202" s="16" t="s">
        <v>214</v>
      </c>
      <c r="K202" s="16">
        <v>13</v>
      </c>
      <c r="L202" s="16" t="s">
        <v>32</v>
      </c>
      <c r="M202" s="16">
        <v>28177</v>
      </c>
      <c r="N202" s="27">
        <v>46035</v>
      </c>
      <c r="O202" s="48" cm="1">
        <f t="array" ref="O202" xml:space="preserve"> IF(AND($L202 &lt;&gt; "", $L202 &lt;&gt; "Removed"), N202 + _xlfn.IFS(_xlfn.TEXTAFTER(L202," ",1) = "Days", _xlfn.NUMBERVALUE(_xlfn.TEXTBEFORE(L202," ",1)), L202="18 Months", 547, _xlfn.TEXTAFTER(L202," ",1) = "Years", _xlfn.NUMBERVALUE(_xlfn.TEXTBEFORE(L202," ",1))*365), "")</f>
        <v>46215</v>
      </c>
      <c r="P202" s="49">
        <v>28177</v>
      </c>
      <c r="Q202" s="15"/>
    </row>
    <row r="203" spans="2:17" ht="16.3" x14ac:dyDescent="0.3">
      <c r="B203" s="15" t="s">
        <v>93</v>
      </c>
      <c r="C203" s="15" t="s">
        <v>97</v>
      </c>
      <c r="D203" s="15"/>
      <c r="E203" s="15" t="s">
        <v>223</v>
      </c>
      <c r="F203" s="22" t="s">
        <v>222</v>
      </c>
      <c r="G203" s="26" t="s">
        <v>156</v>
      </c>
      <c r="H203" s="15"/>
      <c r="I203" s="15"/>
      <c r="J203" s="16" t="s">
        <v>215</v>
      </c>
      <c r="K203" s="16">
        <v>3</v>
      </c>
      <c r="L203" s="16" t="s">
        <v>24</v>
      </c>
      <c r="M203" s="16">
        <v>11308</v>
      </c>
      <c r="N203" s="27">
        <v>45887</v>
      </c>
      <c r="O203" s="48" cm="1">
        <f t="array" ref="O203" xml:space="preserve"> IF(AND($L203 &lt;&gt; "", $L203 &lt;&gt; "Removed"), N203 + _xlfn.IFS(_xlfn.TEXTAFTER(L203," ",1) = "Days", _xlfn.NUMBERVALUE(_xlfn.TEXTBEFORE(L203," ",1)), L203="18 Months", 547, _xlfn.TEXTAFTER(L203," ",1) = "Years", _xlfn.NUMBERVALUE(_xlfn.TEXTBEFORE(L203," ",1))*365), "")</f>
        <v>46252</v>
      </c>
      <c r="P203" s="49"/>
      <c r="Q203" s="15"/>
    </row>
    <row r="204" spans="2:17" ht="16.3" x14ac:dyDescent="0.3">
      <c r="B204" s="15"/>
      <c r="C204" s="15"/>
      <c r="D204" s="15"/>
      <c r="E204" s="15" t="s">
        <v>27</v>
      </c>
      <c r="F204" s="22"/>
      <c r="G204" s="26"/>
      <c r="H204" s="15"/>
      <c r="I204" s="15"/>
      <c r="J204" s="16"/>
      <c r="K204" s="16">
        <v>49</v>
      </c>
      <c r="L204" s="16" t="s">
        <v>27</v>
      </c>
      <c r="M204" s="16"/>
      <c r="N204" s="27"/>
      <c r="O204" s="48" t="str" cm="1">
        <f t="array" ref="O204" xml:space="preserve"> IF(AND($L204 &lt;&gt; "", $L204 &lt;&gt; "Removed"), N204 + _xlfn.IFS(_xlfn.TEXTAFTER(L204," ",1) = "Days", _xlfn.NUMBERVALUE(_xlfn.TEXTBEFORE(L204," ",1)), L204="18 Months", 547, _xlfn.TEXTAFTER(L204," ",1) = "Years", _xlfn.NUMBERVALUE(_xlfn.TEXTBEFORE(L204," ",1))*365), "")</f>
        <v/>
      </c>
      <c r="P204" s="49"/>
      <c r="Q204" s="15"/>
    </row>
    <row r="205" spans="2:17" ht="16.3" x14ac:dyDescent="0.3">
      <c r="B205" s="15" t="s">
        <v>92</v>
      </c>
      <c r="C205" s="15" t="s">
        <v>98</v>
      </c>
      <c r="D205" s="15"/>
      <c r="E205" s="15" t="s">
        <v>142</v>
      </c>
      <c r="F205" s="22" t="s">
        <v>108</v>
      </c>
      <c r="G205" s="26" t="s">
        <v>153</v>
      </c>
      <c r="H205" s="15"/>
      <c r="I205" s="15"/>
      <c r="J205" s="16" t="s">
        <v>19</v>
      </c>
      <c r="K205" s="16">
        <v>1</v>
      </c>
      <c r="L205" s="16" t="s">
        <v>32</v>
      </c>
      <c r="M205" s="16">
        <v>28177</v>
      </c>
      <c r="N205" s="27">
        <v>46035</v>
      </c>
      <c r="O205" s="48" cm="1">
        <f t="array" ref="O205" xml:space="preserve"> IF(AND($L205 &lt;&gt; "", $L205 &lt;&gt; "Removed"), N205 + _xlfn.IFS(_xlfn.TEXTAFTER(L205," ",1) = "Days", _xlfn.NUMBERVALUE(_xlfn.TEXTBEFORE(L205," ",1)), L205="18 Months", 547, _xlfn.TEXTAFTER(L205," ",1) = "Years", _xlfn.NUMBERVALUE(_xlfn.TEXTBEFORE(L205," ",1))*365), "")</f>
        <v>46215</v>
      </c>
      <c r="P205" s="49">
        <v>28177</v>
      </c>
      <c r="Q205" s="15"/>
    </row>
    <row r="206" spans="2:17" ht="16.3" x14ac:dyDescent="0.3">
      <c r="B206" s="15" t="s">
        <v>92</v>
      </c>
      <c r="C206" s="15" t="s">
        <v>98</v>
      </c>
      <c r="D206" s="15"/>
      <c r="E206" s="15" t="s">
        <v>223</v>
      </c>
      <c r="F206" s="22" t="s">
        <v>109</v>
      </c>
      <c r="G206" s="26" t="s">
        <v>154</v>
      </c>
      <c r="H206" s="15"/>
      <c r="I206" s="15"/>
      <c r="J206" s="16" t="s">
        <v>212</v>
      </c>
      <c r="K206" s="16">
        <v>1</v>
      </c>
      <c r="L206" s="16" t="s">
        <v>24</v>
      </c>
      <c r="M206" s="16">
        <v>11308</v>
      </c>
      <c r="N206" s="27">
        <v>45887</v>
      </c>
      <c r="O206" s="48" cm="1">
        <f t="array" ref="O206" xml:space="preserve"> IF(AND($L206 &lt;&gt; "", $L206 &lt;&gt; "Removed"), N206 + _xlfn.IFS(_xlfn.TEXTAFTER(L206," ",1) = "Days", _xlfn.NUMBERVALUE(_xlfn.TEXTBEFORE(L206," ",1)), L206="18 Months", 547, _xlfn.TEXTAFTER(L206," ",1) = "Years", _xlfn.NUMBERVALUE(_xlfn.TEXTBEFORE(L206," ",1))*365), "")</f>
        <v>46252</v>
      </c>
      <c r="P206" s="49"/>
      <c r="Q206" s="15"/>
    </row>
    <row r="207" spans="2:17" ht="16.3" x14ac:dyDescent="0.3">
      <c r="B207" s="15"/>
      <c r="C207" s="15"/>
      <c r="D207" s="15"/>
      <c r="E207" s="15" t="s">
        <v>27</v>
      </c>
      <c r="F207" s="22"/>
      <c r="G207" s="26"/>
      <c r="H207" s="15"/>
      <c r="I207" s="15"/>
      <c r="J207" s="16"/>
      <c r="K207" s="16"/>
      <c r="L207" s="16"/>
      <c r="M207" s="16"/>
      <c r="N207" s="27"/>
      <c r="O207" s="48"/>
      <c r="P207" s="49"/>
      <c r="Q207" s="15"/>
    </row>
    <row r="208" spans="2:17" ht="16.3" x14ac:dyDescent="0.3">
      <c r="B208" s="15" t="s">
        <v>92</v>
      </c>
      <c r="C208" s="15" t="s">
        <v>98</v>
      </c>
      <c r="D208" s="15"/>
      <c r="E208" s="15" t="s">
        <v>142</v>
      </c>
      <c r="F208" s="22" t="s">
        <v>109</v>
      </c>
      <c r="G208" s="26" t="s">
        <v>153</v>
      </c>
      <c r="H208" s="15"/>
      <c r="I208" s="15"/>
      <c r="J208" s="16" t="s">
        <v>19</v>
      </c>
      <c r="K208" s="16">
        <v>1</v>
      </c>
      <c r="L208" s="16" t="s">
        <v>32</v>
      </c>
      <c r="M208" s="16">
        <v>28177</v>
      </c>
      <c r="N208" s="27">
        <v>46035</v>
      </c>
      <c r="O208" s="48" cm="1">
        <f t="array" ref="O208" xml:space="preserve"> IF(AND($L208 &lt;&gt; "", $L208 &lt;&gt; "Removed"), N208 + _xlfn.IFS(_xlfn.TEXTAFTER(L208," ",1) = "Days", _xlfn.NUMBERVALUE(_xlfn.TEXTBEFORE(L208," ",1)), L208="18 Months", 547, _xlfn.TEXTAFTER(L208," ",1) = "Years", _xlfn.NUMBERVALUE(_xlfn.TEXTBEFORE(L208," ",1))*365), "")</f>
        <v>46215</v>
      </c>
      <c r="P208" s="49">
        <v>28177</v>
      </c>
      <c r="Q208" s="15"/>
    </row>
    <row r="209" spans="2:17" ht="16.3" x14ac:dyDescent="0.3">
      <c r="B209" s="15" t="s">
        <v>92</v>
      </c>
      <c r="C209" s="15" t="s">
        <v>98</v>
      </c>
      <c r="D209" s="15"/>
      <c r="E209" s="15" t="s">
        <v>223</v>
      </c>
      <c r="F209" s="22" t="s">
        <v>110</v>
      </c>
      <c r="G209" s="26" t="s">
        <v>154</v>
      </c>
      <c r="H209" s="15"/>
      <c r="I209" s="15"/>
      <c r="J209" s="16" t="s">
        <v>212</v>
      </c>
      <c r="K209" s="16">
        <v>1</v>
      </c>
      <c r="L209" s="16" t="s">
        <v>24</v>
      </c>
      <c r="M209" s="16">
        <v>11308</v>
      </c>
      <c r="N209" s="27">
        <v>45887</v>
      </c>
      <c r="O209" s="48" cm="1">
        <f t="array" ref="O209" xml:space="preserve"> IF(AND($L209 &lt;&gt; "", $L209 &lt;&gt; "Removed"), N209 + _xlfn.IFS(_xlfn.TEXTAFTER(L209," ",1) = "Days", _xlfn.NUMBERVALUE(_xlfn.TEXTBEFORE(L209," ",1)), L209="18 Months", 547, _xlfn.TEXTAFTER(L209," ",1) = "Years", _xlfn.NUMBERVALUE(_xlfn.TEXTBEFORE(L209," ",1))*365), "")</f>
        <v>46252</v>
      </c>
      <c r="P209" s="49"/>
      <c r="Q209" s="15"/>
    </row>
    <row r="210" spans="2:17" ht="16.3" x14ac:dyDescent="0.3">
      <c r="B210" s="15"/>
      <c r="C210" s="15"/>
      <c r="D210" s="15"/>
      <c r="E210" s="15" t="s">
        <v>27</v>
      </c>
      <c r="F210" s="22"/>
      <c r="G210" s="26"/>
      <c r="H210" s="15"/>
      <c r="I210" s="15"/>
      <c r="J210" s="16"/>
      <c r="K210" s="16"/>
      <c r="L210" s="16"/>
      <c r="M210" s="16"/>
      <c r="N210" s="27"/>
      <c r="O210" s="48"/>
      <c r="P210" s="49"/>
      <c r="Q210" s="15"/>
    </row>
    <row r="211" spans="2:17" ht="16.3" x14ac:dyDescent="0.3">
      <c r="B211" s="15" t="s">
        <v>92</v>
      </c>
      <c r="C211" s="15" t="s">
        <v>98</v>
      </c>
      <c r="D211" s="15"/>
      <c r="E211" s="15" t="s">
        <v>142</v>
      </c>
      <c r="F211" s="22" t="s">
        <v>110</v>
      </c>
      <c r="G211" s="26" t="s">
        <v>153</v>
      </c>
      <c r="H211" s="15"/>
      <c r="I211" s="15"/>
      <c r="J211" s="16" t="s">
        <v>19</v>
      </c>
      <c r="K211" s="16">
        <v>1</v>
      </c>
      <c r="L211" s="16" t="s">
        <v>32</v>
      </c>
      <c r="M211" s="16">
        <v>28177</v>
      </c>
      <c r="N211" s="27">
        <v>46035</v>
      </c>
      <c r="O211" s="48" cm="1">
        <f t="array" ref="O211" xml:space="preserve"> IF(AND($L211 &lt;&gt; "", $L211 &lt;&gt; "Removed"), N211 + _xlfn.IFS(_xlfn.TEXTAFTER(L211," ",1) = "Days", _xlfn.NUMBERVALUE(_xlfn.TEXTBEFORE(L211," ",1)), L211="18 Months", 547, _xlfn.TEXTAFTER(L211," ",1) = "Years", _xlfn.NUMBERVALUE(_xlfn.TEXTBEFORE(L211," ",1))*365), "")</f>
        <v>46215</v>
      </c>
      <c r="P211" s="49">
        <v>28177</v>
      </c>
      <c r="Q211" s="15"/>
    </row>
    <row r="212" spans="2:17" ht="16.3" x14ac:dyDescent="0.3">
      <c r="B212" s="15" t="s">
        <v>92</v>
      </c>
      <c r="C212" s="15" t="s">
        <v>98</v>
      </c>
      <c r="D212" s="15"/>
      <c r="E212" s="15" t="s">
        <v>223</v>
      </c>
      <c r="F212" s="22" t="s">
        <v>110</v>
      </c>
      <c r="G212" s="26" t="s">
        <v>154</v>
      </c>
      <c r="H212" s="15"/>
      <c r="I212" s="15"/>
      <c r="J212" s="16" t="s">
        <v>212</v>
      </c>
      <c r="K212" s="16">
        <v>1</v>
      </c>
      <c r="L212" s="16" t="s">
        <v>24</v>
      </c>
      <c r="M212" s="16">
        <v>11308</v>
      </c>
      <c r="N212" s="27">
        <v>45887</v>
      </c>
      <c r="O212" s="48" cm="1">
        <f t="array" ref="O212" xml:space="preserve"> IF(AND($L212 &lt;&gt; "", $L212 &lt;&gt; "Removed"), N212 + _xlfn.IFS(_xlfn.TEXTAFTER(L212," ",1) = "Days", _xlfn.NUMBERVALUE(_xlfn.TEXTBEFORE(L212," ",1)), L212="18 Months", 547, _xlfn.TEXTAFTER(L212," ",1) = "Years", _xlfn.NUMBERVALUE(_xlfn.TEXTBEFORE(L212," ",1))*365), "")</f>
        <v>46252</v>
      </c>
      <c r="P212" s="49"/>
      <c r="Q212" s="15"/>
    </row>
    <row r="213" spans="2:17" ht="16.3" x14ac:dyDescent="0.3">
      <c r="B213" s="15"/>
      <c r="C213" s="15"/>
      <c r="D213" s="15"/>
      <c r="E213" s="15" t="s">
        <v>27</v>
      </c>
      <c r="F213" s="22"/>
      <c r="G213" s="26"/>
      <c r="H213" s="15"/>
      <c r="I213" s="15"/>
      <c r="J213" s="16"/>
      <c r="K213" s="16"/>
      <c r="L213" s="16"/>
      <c r="M213" s="16"/>
      <c r="N213" s="27"/>
      <c r="O213" s="48"/>
      <c r="P213" s="49"/>
      <c r="Q213" s="15"/>
    </row>
    <row r="214" spans="2:17" ht="16.3" x14ac:dyDescent="0.3">
      <c r="B214" s="15" t="s">
        <v>92</v>
      </c>
      <c r="C214" s="15" t="s">
        <v>98</v>
      </c>
      <c r="D214" s="15"/>
      <c r="E214" s="15" t="s">
        <v>142</v>
      </c>
      <c r="F214" s="22" t="s">
        <v>111</v>
      </c>
      <c r="G214" s="26" t="s">
        <v>153</v>
      </c>
      <c r="H214" s="15"/>
      <c r="I214" s="15"/>
      <c r="J214" s="16" t="s">
        <v>19</v>
      </c>
      <c r="K214" s="16">
        <v>1</v>
      </c>
      <c r="L214" s="16" t="s">
        <v>32</v>
      </c>
      <c r="M214" s="16">
        <v>28177</v>
      </c>
      <c r="N214" s="27">
        <v>46035</v>
      </c>
      <c r="O214" s="48" cm="1">
        <f t="array" ref="O214" xml:space="preserve"> IF(AND($L214 &lt;&gt; "", $L214 &lt;&gt; "Removed"), N214 + _xlfn.IFS(_xlfn.TEXTAFTER(L214," ",1) = "Days", _xlfn.NUMBERVALUE(_xlfn.TEXTBEFORE(L214," ",1)), L214="18 Months", 547, _xlfn.TEXTAFTER(L214," ",1) = "Years", _xlfn.NUMBERVALUE(_xlfn.TEXTBEFORE(L214," ",1))*365), "")</f>
        <v>46215</v>
      </c>
      <c r="P214" s="49">
        <v>28177</v>
      </c>
      <c r="Q214" s="15"/>
    </row>
    <row r="215" spans="2:17" ht="16.3" x14ac:dyDescent="0.3">
      <c r="B215" s="15" t="s">
        <v>92</v>
      </c>
      <c r="C215" s="15" t="s">
        <v>98</v>
      </c>
      <c r="D215" s="15"/>
      <c r="E215" s="15" t="s">
        <v>223</v>
      </c>
      <c r="F215" s="22" t="s">
        <v>111</v>
      </c>
      <c r="G215" s="26" t="s">
        <v>154</v>
      </c>
      <c r="H215" s="15"/>
      <c r="I215" s="15"/>
      <c r="J215" s="16" t="s">
        <v>212</v>
      </c>
      <c r="K215" s="16">
        <v>1</v>
      </c>
      <c r="L215" s="16" t="s">
        <v>24</v>
      </c>
      <c r="M215" s="16">
        <v>11308</v>
      </c>
      <c r="N215" s="27">
        <v>45887</v>
      </c>
      <c r="O215" s="48" cm="1">
        <f t="array" ref="O215" xml:space="preserve"> IF(AND($L215 &lt;&gt; "", $L215 &lt;&gt; "Removed"), N215 + _xlfn.IFS(_xlfn.TEXTAFTER(L215," ",1) = "Days", _xlfn.NUMBERVALUE(_xlfn.TEXTBEFORE(L215," ",1)), L215="18 Months", 547, _xlfn.TEXTAFTER(L215," ",1) = "Years", _xlfn.NUMBERVALUE(_xlfn.TEXTBEFORE(L215," ",1))*365), "")</f>
        <v>46252</v>
      </c>
      <c r="P215" s="49"/>
      <c r="Q215" s="15"/>
    </row>
    <row r="216" spans="2:17" ht="16.3" x14ac:dyDescent="0.3">
      <c r="B216" s="15"/>
      <c r="C216" s="15"/>
      <c r="D216" s="15"/>
      <c r="E216" s="15" t="s">
        <v>27</v>
      </c>
      <c r="F216" s="22"/>
      <c r="G216" s="26"/>
      <c r="H216" s="15"/>
      <c r="I216" s="15"/>
      <c r="J216" s="16"/>
      <c r="K216" s="16"/>
      <c r="L216" s="16"/>
      <c r="M216" s="16"/>
      <c r="N216" s="27"/>
      <c r="O216" s="48"/>
      <c r="P216" s="49"/>
      <c r="Q216" s="15"/>
    </row>
    <row r="217" spans="2:17" ht="16.3" x14ac:dyDescent="0.3">
      <c r="B217" s="15" t="s">
        <v>92</v>
      </c>
      <c r="C217" s="15" t="s">
        <v>98</v>
      </c>
      <c r="D217" s="15"/>
      <c r="E217" s="15" t="s">
        <v>142</v>
      </c>
      <c r="F217" s="22" t="s">
        <v>112</v>
      </c>
      <c r="G217" s="26" t="s">
        <v>153</v>
      </c>
      <c r="H217" s="15"/>
      <c r="I217" s="15"/>
      <c r="J217" s="16" t="s">
        <v>19</v>
      </c>
      <c r="K217" s="16">
        <v>1</v>
      </c>
      <c r="L217" s="16" t="s">
        <v>32</v>
      </c>
      <c r="M217" s="16">
        <v>28177</v>
      </c>
      <c r="N217" s="27">
        <v>46035</v>
      </c>
      <c r="O217" s="48" cm="1">
        <f t="array" ref="O217" xml:space="preserve"> IF(AND($L217 &lt;&gt; "", $L217 &lt;&gt; "Removed"), N217 + _xlfn.IFS(_xlfn.TEXTAFTER(L217," ",1) = "Days", _xlfn.NUMBERVALUE(_xlfn.TEXTBEFORE(L217," ",1)), L217="18 Months", 547, _xlfn.TEXTAFTER(L217," ",1) = "Years", _xlfn.NUMBERVALUE(_xlfn.TEXTBEFORE(L217," ",1))*365), "")</f>
        <v>46215</v>
      </c>
      <c r="P217" s="49">
        <v>28177</v>
      </c>
      <c r="Q217" s="15"/>
    </row>
    <row r="218" spans="2:17" ht="16.3" x14ac:dyDescent="0.3">
      <c r="B218" s="15" t="s">
        <v>92</v>
      </c>
      <c r="C218" s="15" t="s">
        <v>98</v>
      </c>
      <c r="D218" s="15"/>
      <c r="E218" s="15" t="s">
        <v>223</v>
      </c>
      <c r="F218" s="22" t="s">
        <v>112</v>
      </c>
      <c r="G218" s="26" t="s">
        <v>154</v>
      </c>
      <c r="H218" s="15"/>
      <c r="I218" s="15"/>
      <c r="J218" s="16" t="s">
        <v>212</v>
      </c>
      <c r="K218" s="16">
        <v>1</v>
      </c>
      <c r="L218" s="16" t="s">
        <v>24</v>
      </c>
      <c r="M218" s="16">
        <v>11308</v>
      </c>
      <c r="N218" s="27">
        <v>45887</v>
      </c>
      <c r="O218" s="48" cm="1">
        <f t="array" ref="O218" xml:space="preserve"> IF(AND($L218 &lt;&gt; "", $L218 &lt;&gt; "Removed"), N218 + _xlfn.IFS(_xlfn.TEXTAFTER(L218," ",1) = "Days", _xlfn.NUMBERVALUE(_xlfn.TEXTBEFORE(L218," ",1)), L218="18 Months", 547, _xlfn.TEXTAFTER(L218," ",1) = "Years", _xlfn.NUMBERVALUE(_xlfn.TEXTBEFORE(L218," ",1))*365), "")</f>
        <v>46252</v>
      </c>
      <c r="P218" s="49"/>
      <c r="Q218" s="15"/>
    </row>
    <row r="219" spans="2:17" ht="16.3" x14ac:dyDescent="0.3">
      <c r="B219" s="15"/>
      <c r="C219" s="15"/>
      <c r="D219" s="15"/>
      <c r="E219" s="15" t="s">
        <v>27</v>
      </c>
      <c r="F219" s="22"/>
      <c r="G219" s="26"/>
      <c r="H219" s="15"/>
      <c r="I219" s="15"/>
      <c r="J219" s="16"/>
      <c r="K219" s="16"/>
      <c r="L219" s="16"/>
      <c r="M219" s="16"/>
      <c r="N219" s="27"/>
      <c r="O219" s="48"/>
      <c r="P219" s="49"/>
      <c r="Q219" s="15"/>
    </row>
    <row r="220" spans="2:17" ht="16.3" x14ac:dyDescent="0.3">
      <c r="B220" s="15" t="s">
        <v>92</v>
      </c>
      <c r="C220" s="15" t="s">
        <v>98</v>
      </c>
      <c r="D220" s="15"/>
      <c r="E220" s="15" t="s">
        <v>142</v>
      </c>
      <c r="F220" s="22" t="s">
        <v>113</v>
      </c>
      <c r="G220" s="26" t="s">
        <v>153</v>
      </c>
      <c r="H220" s="15"/>
      <c r="I220" s="15"/>
      <c r="J220" s="16" t="s">
        <v>19</v>
      </c>
      <c r="K220" s="16">
        <v>1</v>
      </c>
      <c r="L220" s="16" t="s">
        <v>32</v>
      </c>
      <c r="M220" s="16">
        <v>28177</v>
      </c>
      <c r="N220" s="27">
        <v>46035</v>
      </c>
      <c r="O220" s="48" cm="1">
        <f t="array" ref="O220" xml:space="preserve"> IF(AND($L220 &lt;&gt; "", $L220 &lt;&gt; "Removed"), N220 + _xlfn.IFS(_xlfn.TEXTAFTER(L220," ",1) = "Days", _xlfn.NUMBERVALUE(_xlfn.TEXTBEFORE(L220," ",1)), L220="18 Months", 547, _xlfn.TEXTAFTER(L220," ",1) = "Years", _xlfn.NUMBERVALUE(_xlfn.TEXTBEFORE(L220," ",1))*365), "")</f>
        <v>46215</v>
      </c>
      <c r="P220" s="49">
        <v>28177</v>
      </c>
      <c r="Q220" s="15"/>
    </row>
    <row r="221" spans="2:17" ht="16.3" x14ac:dyDescent="0.3">
      <c r="B221" s="15" t="s">
        <v>92</v>
      </c>
      <c r="C221" s="15" t="s">
        <v>98</v>
      </c>
      <c r="D221" s="15"/>
      <c r="E221" s="15" t="s">
        <v>223</v>
      </c>
      <c r="F221" s="22" t="s">
        <v>113</v>
      </c>
      <c r="G221" s="26" t="s">
        <v>154</v>
      </c>
      <c r="H221" s="15"/>
      <c r="I221" s="15"/>
      <c r="J221" s="16" t="s">
        <v>212</v>
      </c>
      <c r="K221" s="16">
        <v>1</v>
      </c>
      <c r="L221" s="16" t="s">
        <v>24</v>
      </c>
      <c r="M221" s="16">
        <v>11308</v>
      </c>
      <c r="N221" s="27">
        <v>45887</v>
      </c>
      <c r="O221" s="48" cm="1">
        <f t="array" ref="O221" xml:space="preserve"> IF(AND($L221 &lt;&gt; "", $L221 &lt;&gt; "Removed"), N221 + _xlfn.IFS(_xlfn.TEXTAFTER(L221," ",1) = "Days", _xlfn.NUMBERVALUE(_xlfn.TEXTBEFORE(L221," ",1)), L221="18 Months", 547, _xlfn.TEXTAFTER(L221," ",1) = "Years", _xlfn.NUMBERVALUE(_xlfn.TEXTBEFORE(L221," ",1))*365), "")</f>
        <v>46252</v>
      </c>
      <c r="P221" s="49"/>
      <c r="Q221" s="15"/>
    </row>
    <row r="222" spans="2:17" ht="16.3" x14ac:dyDescent="0.3">
      <c r="B222" s="15"/>
      <c r="C222" s="15"/>
      <c r="D222" s="15"/>
      <c r="E222" s="15" t="s">
        <v>27</v>
      </c>
      <c r="F222" s="22"/>
      <c r="G222" s="26"/>
      <c r="H222" s="15"/>
      <c r="I222" s="15"/>
      <c r="J222" s="16"/>
      <c r="K222" s="16"/>
      <c r="L222" s="16"/>
      <c r="M222" s="16"/>
      <c r="N222" s="27"/>
      <c r="O222" s="48"/>
      <c r="P222" s="49"/>
      <c r="Q222" s="15"/>
    </row>
    <row r="223" spans="2:17" ht="16.3" x14ac:dyDescent="0.3">
      <c r="B223" s="15" t="s">
        <v>92</v>
      </c>
      <c r="C223" s="15" t="s">
        <v>98</v>
      </c>
      <c r="D223" s="15"/>
      <c r="E223" s="15" t="s">
        <v>142</v>
      </c>
      <c r="F223" s="22" t="s">
        <v>114</v>
      </c>
      <c r="G223" s="26" t="s">
        <v>153</v>
      </c>
      <c r="H223" s="15"/>
      <c r="I223" s="15"/>
      <c r="J223" s="16" t="s">
        <v>19</v>
      </c>
      <c r="K223" s="16">
        <v>1</v>
      </c>
      <c r="L223" s="16" t="s">
        <v>32</v>
      </c>
      <c r="M223" s="16">
        <v>28177</v>
      </c>
      <c r="N223" s="27">
        <v>46035</v>
      </c>
      <c r="O223" s="48" cm="1">
        <f t="array" ref="O223" xml:space="preserve"> IF(AND($L223 &lt;&gt; "", $L223 &lt;&gt; "Removed"), N223 + _xlfn.IFS(_xlfn.TEXTAFTER(L223," ",1) = "Days", _xlfn.NUMBERVALUE(_xlfn.TEXTBEFORE(L223," ",1)), L223="18 Months", 547, _xlfn.TEXTAFTER(L223," ",1) = "Years", _xlfn.NUMBERVALUE(_xlfn.TEXTBEFORE(L223," ",1))*365), "")</f>
        <v>46215</v>
      </c>
      <c r="P223" s="49">
        <v>28177</v>
      </c>
      <c r="Q223" s="15"/>
    </row>
    <row r="224" spans="2:17" ht="16.3" x14ac:dyDescent="0.3">
      <c r="B224" s="15" t="s">
        <v>92</v>
      </c>
      <c r="C224" s="15" t="s">
        <v>98</v>
      </c>
      <c r="D224" s="15"/>
      <c r="E224" s="15" t="s">
        <v>223</v>
      </c>
      <c r="F224" s="22" t="s">
        <v>114</v>
      </c>
      <c r="G224" s="26" t="s">
        <v>154</v>
      </c>
      <c r="H224" s="15"/>
      <c r="I224" s="15"/>
      <c r="J224" s="16" t="s">
        <v>212</v>
      </c>
      <c r="K224" s="16">
        <v>1</v>
      </c>
      <c r="L224" s="16" t="s">
        <v>24</v>
      </c>
      <c r="M224" s="16">
        <v>11308</v>
      </c>
      <c r="N224" s="27">
        <v>45887</v>
      </c>
      <c r="O224" s="48" cm="1">
        <f t="array" ref="O224" xml:space="preserve"> IF(AND($L224 &lt;&gt; "", $L224 &lt;&gt; "Removed"), N224 + _xlfn.IFS(_xlfn.TEXTAFTER(L224," ",1) = "Days", _xlfn.NUMBERVALUE(_xlfn.TEXTBEFORE(L224," ",1)), L224="18 Months", 547, _xlfn.TEXTAFTER(L224," ",1) = "Years", _xlfn.NUMBERVALUE(_xlfn.TEXTBEFORE(L224," ",1))*365), "")</f>
        <v>46252</v>
      </c>
      <c r="P224" s="49"/>
      <c r="Q224" s="15"/>
    </row>
    <row r="225" spans="2:17" ht="16.3" x14ac:dyDescent="0.3">
      <c r="B225" s="15"/>
      <c r="C225" s="15"/>
      <c r="D225" s="15"/>
      <c r="E225" s="15" t="s">
        <v>27</v>
      </c>
      <c r="F225" s="22"/>
      <c r="G225" s="26"/>
      <c r="H225" s="15"/>
      <c r="I225" s="15"/>
      <c r="J225" s="16"/>
      <c r="K225" s="16"/>
      <c r="L225" s="16"/>
      <c r="M225" s="16"/>
      <c r="N225" s="27"/>
      <c r="O225" s="48"/>
      <c r="P225" s="49"/>
      <c r="Q225" s="15"/>
    </row>
    <row r="226" spans="2:17" ht="16.3" x14ac:dyDescent="0.3">
      <c r="B226" s="15" t="s">
        <v>92</v>
      </c>
      <c r="C226" s="15" t="s">
        <v>98</v>
      </c>
      <c r="D226" s="15"/>
      <c r="E226" s="15" t="s">
        <v>142</v>
      </c>
      <c r="F226" s="22" t="s">
        <v>115</v>
      </c>
      <c r="G226" s="26" t="s">
        <v>153</v>
      </c>
      <c r="H226" s="15"/>
      <c r="I226" s="15"/>
      <c r="J226" s="16" t="s">
        <v>19</v>
      </c>
      <c r="K226" s="16">
        <v>1</v>
      </c>
      <c r="L226" s="16" t="s">
        <v>32</v>
      </c>
      <c r="M226" s="16">
        <v>28177</v>
      </c>
      <c r="N226" s="27">
        <v>46035</v>
      </c>
      <c r="O226" s="48" cm="1">
        <f t="array" ref="O226" xml:space="preserve"> IF(AND($L226 &lt;&gt; "", $L226 &lt;&gt; "Removed"), N226 + _xlfn.IFS(_xlfn.TEXTAFTER(L226," ",1) = "Days", _xlfn.NUMBERVALUE(_xlfn.TEXTBEFORE(L226," ",1)), L226="18 Months", 547, _xlfn.TEXTAFTER(L226," ",1) = "Years", _xlfn.NUMBERVALUE(_xlfn.TEXTBEFORE(L226," ",1))*365), "")</f>
        <v>46215</v>
      </c>
      <c r="P226" s="49">
        <v>28177</v>
      </c>
      <c r="Q226" s="15"/>
    </row>
    <row r="227" spans="2:17" ht="16.3" x14ac:dyDescent="0.3">
      <c r="B227" s="15" t="s">
        <v>92</v>
      </c>
      <c r="C227" s="15" t="s">
        <v>98</v>
      </c>
      <c r="D227" s="15"/>
      <c r="E227" s="15" t="s">
        <v>223</v>
      </c>
      <c r="F227" s="22" t="s">
        <v>115</v>
      </c>
      <c r="G227" s="26" t="s">
        <v>154</v>
      </c>
      <c r="H227" s="15"/>
      <c r="I227" s="15"/>
      <c r="J227" s="16" t="s">
        <v>212</v>
      </c>
      <c r="K227" s="16">
        <v>1</v>
      </c>
      <c r="L227" s="16" t="s">
        <v>24</v>
      </c>
      <c r="M227" s="16">
        <v>11308</v>
      </c>
      <c r="N227" s="27">
        <v>45887</v>
      </c>
      <c r="O227" s="48" cm="1">
        <f t="array" ref="O227" xml:space="preserve"> IF(AND($L227 &lt;&gt; "", $L227 &lt;&gt; "Removed"), N227 + _xlfn.IFS(_xlfn.TEXTAFTER(L227," ",1) = "Days", _xlfn.NUMBERVALUE(_xlfn.TEXTBEFORE(L227," ",1)), L227="18 Months", 547, _xlfn.TEXTAFTER(L227," ",1) = "Years", _xlfn.NUMBERVALUE(_xlfn.TEXTBEFORE(L227," ",1))*365), "")</f>
        <v>46252</v>
      </c>
      <c r="P227" s="49"/>
      <c r="Q227" s="15"/>
    </row>
    <row r="228" spans="2:17" ht="16.3" x14ac:dyDescent="0.3">
      <c r="B228" s="15"/>
      <c r="C228" s="15"/>
      <c r="D228" s="15"/>
      <c r="E228" s="15" t="s">
        <v>27</v>
      </c>
      <c r="F228" s="22"/>
      <c r="G228" s="26"/>
      <c r="H228" s="15"/>
      <c r="I228" s="15"/>
      <c r="J228" s="16"/>
      <c r="K228" s="16"/>
      <c r="L228" s="16"/>
      <c r="M228" s="16"/>
      <c r="N228" s="27"/>
      <c r="O228" s="48"/>
      <c r="P228" s="49"/>
      <c r="Q228" s="15"/>
    </row>
    <row r="229" spans="2:17" ht="16.3" x14ac:dyDescent="0.3">
      <c r="B229" s="15" t="s">
        <v>92</v>
      </c>
      <c r="C229" s="15" t="s">
        <v>98</v>
      </c>
      <c r="D229" s="15"/>
      <c r="E229" s="15" t="s">
        <v>142</v>
      </c>
      <c r="F229" s="22" t="s">
        <v>116</v>
      </c>
      <c r="G229" s="26" t="s">
        <v>153</v>
      </c>
      <c r="H229" s="15"/>
      <c r="I229" s="15"/>
      <c r="J229" s="16" t="s">
        <v>19</v>
      </c>
      <c r="K229" s="16">
        <v>1</v>
      </c>
      <c r="L229" s="16" t="s">
        <v>32</v>
      </c>
      <c r="M229" s="16">
        <v>28177</v>
      </c>
      <c r="N229" s="27">
        <v>46035</v>
      </c>
      <c r="O229" s="48" cm="1">
        <f t="array" ref="O229" xml:space="preserve"> IF(AND($L229 &lt;&gt; "", $L229 &lt;&gt; "Removed"), N229 + _xlfn.IFS(_xlfn.TEXTAFTER(L229," ",1) = "Days", _xlfn.NUMBERVALUE(_xlfn.TEXTBEFORE(L229," ",1)), L229="18 Months", 547, _xlfn.TEXTAFTER(L229," ",1) = "Years", _xlfn.NUMBERVALUE(_xlfn.TEXTBEFORE(L229," ",1))*365), "")</f>
        <v>46215</v>
      </c>
      <c r="P229" s="49">
        <v>28177</v>
      </c>
      <c r="Q229" s="15"/>
    </row>
    <row r="230" spans="2:17" ht="16.3" x14ac:dyDescent="0.3">
      <c r="B230" s="15" t="s">
        <v>92</v>
      </c>
      <c r="C230" s="15" t="s">
        <v>98</v>
      </c>
      <c r="D230" s="15"/>
      <c r="E230" s="15" t="s">
        <v>223</v>
      </c>
      <c r="F230" s="22" t="s">
        <v>116</v>
      </c>
      <c r="G230" s="26" t="s">
        <v>154</v>
      </c>
      <c r="H230" s="15"/>
      <c r="I230" s="15"/>
      <c r="J230" s="16" t="s">
        <v>212</v>
      </c>
      <c r="K230" s="16">
        <v>1</v>
      </c>
      <c r="L230" s="16" t="s">
        <v>24</v>
      </c>
      <c r="M230" s="16">
        <v>11308</v>
      </c>
      <c r="N230" s="27">
        <v>45887</v>
      </c>
      <c r="O230" s="48" cm="1">
        <f t="array" ref="O230" xml:space="preserve"> IF(AND($L230 &lt;&gt; "", $L230 &lt;&gt; "Removed"), N230 + _xlfn.IFS(_xlfn.TEXTAFTER(L230," ",1) = "Days", _xlfn.NUMBERVALUE(_xlfn.TEXTBEFORE(L230," ",1)), L230="18 Months", 547, _xlfn.TEXTAFTER(L230," ",1) = "Years", _xlfn.NUMBERVALUE(_xlfn.TEXTBEFORE(L230," ",1))*365), "")</f>
        <v>46252</v>
      </c>
      <c r="P230" s="49"/>
      <c r="Q230" s="15"/>
    </row>
    <row r="231" spans="2:17" ht="16.3" x14ac:dyDescent="0.3">
      <c r="B231" s="15"/>
      <c r="C231" s="15"/>
      <c r="D231" s="15"/>
      <c r="E231" s="15" t="s">
        <v>27</v>
      </c>
      <c r="F231" s="22"/>
      <c r="G231" s="26"/>
      <c r="H231" s="15"/>
      <c r="I231" s="15"/>
      <c r="J231" s="16"/>
      <c r="K231" s="16"/>
      <c r="L231" s="16"/>
      <c r="M231" s="16"/>
      <c r="N231" s="27"/>
      <c r="O231" s="48"/>
      <c r="P231" s="49"/>
      <c r="Q231" s="15"/>
    </row>
    <row r="232" spans="2:17" ht="16.3" x14ac:dyDescent="0.3">
      <c r="B232" s="15" t="s">
        <v>92</v>
      </c>
      <c r="C232" s="15" t="s">
        <v>98</v>
      </c>
      <c r="D232" s="15"/>
      <c r="E232" s="15" t="s">
        <v>142</v>
      </c>
      <c r="F232" s="22" t="s">
        <v>117</v>
      </c>
      <c r="G232" s="26" t="s">
        <v>153</v>
      </c>
      <c r="H232" s="15"/>
      <c r="I232" s="15"/>
      <c r="J232" s="16" t="s">
        <v>19</v>
      </c>
      <c r="K232" s="16">
        <v>1</v>
      </c>
      <c r="L232" s="16" t="s">
        <v>32</v>
      </c>
      <c r="M232" s="16">
        <v>28177</v>
      </c>
      <c r="N232" s="27">
        <v>46035</v>
      </c>
      <c r="O232" s="48" cm="1">
        <f t="array" ref="O232" xml:space="preserve"> IF(AND($L232 &lt;&gt; "", $L232 &lt;&gt; "Removed"), N232 + _xlfn.IFS(_xlfn.TEXTAFTER(L232," ",1) = "Days", _xlfn.NUMBERVALUE(_xlfn.TEXTBEFORE(L232," ",1)), L232="18 Months", 547, _xlfn.TEXTAFTER(L232," ",1) = "Years", _xlfn.NUMBERVALUE(_xlfn.TEXTBEFORE(L232," ",1))*365), "")</f>
        <v>46215</v>
      </c>
      <c r="P232" s="49">
        <v>28177</v>
      </c>
      <c r="Q232" s="15"/>
    </row>
    <row r="233" spans="2:17" ht="16.3" x14ac:dyDescent="0.3">
      <c r="B233" s="15" t="s">
        <v>92</v>
      </c>
      <c r="C233" s="15" t="s">
        <v>98</v>
      </c>
      <c r="D233" s="15"/>
      <c r="E233" s="15" t="s">
        <v>223</v>
      </c>
      <c r="F233" s="22" t="s">
        <v>117</v>
      </c>
      <c r="G233" s="26" t="s">
        <v>157</v>
      </c>
      <c r="H233" s="15"/>
      <c r="I233" s="15"/>
      <c r="J233" s="16" t="s">
        <v>212</v>
      </c>
      <c r="K233" s="16">
        <v>1</v>
      </c>
      <c r="L233" s="16" t="s">
        <v>24</v>
      </c>
      <c r="M233" s="16">
        <v>11308</v>
      </c>
      <c r="N233" s="27">
        <v>45887</v>
      </c>
      <c r="O233" s="48" cm="1">
        <f t="array" ref="O233" xml:space="preserve"> IF(AND($L233 &lt;&gt; "", $L233 &lt;&gt; "Removed"), N233 + _xlfn.IFS(_xlfn.TEXTAFTER(L233," ",1) = "Days", _xlfn.NUMBERVALUE(_xlfn.TEXTBEFORE(L233," ",1)), L233="18 Months", 547, _xlfn.TEXTAFTER(L233," ",1) = "Years", _xlfn.NUMBERVALUE(_xlfn.TEXTBEFORE(L233," ",1))*365), "")</f>
        <v>46252</v>
      </c>
      <c r="P233" s="49"/>
      <c r="Q233" s="15"/>
    </row>
    <row r="234" spans="2:17" ht="16.3" x14ac:dyDescent="0.3">
      <c r="B234" s="15"/>
      <c r="C234" s="15"/>
      <c r="D234" s="15"/>
      <c r="E234" s="15" t="s">
        <v>27</v>
      </c>
      <c r="F234" s="22"/>
      <c r="G234" s="26"/>
      <c r="H234" s="15"/>
      <c r="I234" s="15"/>
      <c r="J234" s="16"/>
      <c r="K234" s="16"/>
      <c r="L234" s="16"/>
      <c r="M234" s="16"/>
      <c r="N234" s="27"/>
      <c r="O234" s="48"/>
      <c r="P234" s="49"/>
      <c r="Q234" s="15"/>
    </row>
    <row r="235" spans="2:17" ht="16.3" x14ac:dyDescent="0.3">
      <c r="B235" s="15" t="s">
        <v>92</v>
      </c>
      <c r="C235" s="15" t="s">
        <v>98</v>
      </c>
      <c r="D235" s="15"/>
      <c r="E235" s="15" t="s">
        <v>142</v>
      </c>
      <c r="F235" s="22" t="s">
        <v>118</v>
      </c>
      <c r="G235" s="26" t="s">
        <v>153</v>
      </c>
      <c r="H235" s="15"/>
      <c r="I235" s="15"/>
      <c r="J235" s="16" t="s">
        <v>19</v>
      </c>
      <c r="K235" s="16">
        <v>1</v>
      </c>
      <c r="L235" s="16" t="s">
        <v>32</v>
      </c>
      <c r="M235" s="16">
        <v>28177</v>
      </c>
      <c r="N235" s="27">
        <v>46035</v>
      </c>
      <c r="O235" s="48" cm="1">
        <f t="array" ref="O235" xml:space="preserve"> IF(AND($L235 &lt;&gt; "", $L235 &lt;&gt; "Removed"), N235 + _xlfn.IFS(_xlfn.TEXTAFTER(L235," ",1) = "Days", _xlfn.NUMBERVALUE(_xlfn.TEXTBEFORE(L235," ",1)), L235="18 Months", 547, _xlfn.TEXTAFTER(L235," ",1) = "Years", _xlfn.NUMBERVALUE(_xlfn.TEXTBEFORE(L235," ",1))*365), "")</f>
        <v>46215</v>
      </c>
      <c r="P235" s="49">
        <v>28177</v>
      </c>
      <c r="Q235" s="15"/>
    </row>
    <row r="236" spans="2:17" ht="16.3" x14ac:dyDescent="0.3">
      <c r="B236" s="15" t="s">
        <v>92</v>
      </c>
      <c r="C236" s="15" t="s">
        <v>98</v>
      </c>
      <c r="D236" s="15"/>
      <c r="E236" s="15" t="s">
        <v>223</v>
      </c>
      <c r="F236" s="22" t="s">
        <v>118</v>
      </c>
      <c r="G236" s="26" t="s">
        <v>154</v>
      </c>
      <c r="H236" s="15"/>
      <c r="I236" s="15"/>
      <c r="J236" s="16" t="s">
        <v>212</v>
      </c>
      <c r="K236" s="16">
        <v>1</v>
      </c>
      <c r="L236" s="16" t="s">
        <v>24</v>
      </c>
      <c r="M236" s="16">
        <v>11308</v>
      </c>
      <c r="N236" s="27">
        <v>45887</v>
      </c>
      <c r="O236" s="48" cm="1">
        <f t="array" ref="O236" xml:space="preserve"> IF(AND($L236 &lt;&gt; "", $L236 &lt;&gt; "Removed"), N236 + _xlfn.IFS(_xlfn.TEXTAFTER(L236," ",1) = "Days", _xlfn.NUMBERVALUE(_xlfn.TEXTBEFORE(L236," ",1)), L236="18 Months", 547, _xlfn.TEXTAFTER(L236," ",1) = "Years", _xlfn.NUMBERVALUE(_xlfn.TEXTBEFORE(L236," ",1))*365), "")</f>
        <v>46252</v>
      </c>
      <c r="P236" s="49"/>
      <c r="Q236" s="15"/>
    </row>
    <row r="237" spans="2:17" ht="16.3" x14ac:dyDescent="0.3">
      <c r="B237" s="15"/>
      <c r="C237" s="15"/>
      <c r="D237" s="15"/>
      <c r="E237" s="15" t="s">
        <v>27</v>
      </c>
      <c r="F237" s="22"/>
      <c r="G237" s="26"/>
      <c r="H237" s="15"/>
      <c r="I237" s="15"/>
      <c r="J237" s="16"/>
      <c r="K237" s="16"/>
      <c r="L237" s="16"/>
      <c r="M237" s="16"/>
      <c r="N237" s="27"/>
      <c r="O237" s="48"/>
      <c r="P237" s="49"/>
      <c r="Q237" s="15"/>
    </row>
    <row r="238" spans="2:17" ht="16.3" x14ac:dyDescent="0.3">
      <c r="B238" s="15" t="s">
        <v>92</v>
      </c>
      <c r="C238" s="15" t="s">
        <v>98</v>
      </c>
      <c r="D238" s="15"/>
      <c r="E238" s="15" t="s">
        <v>142</v>
      </c>
      <c r="F238" s="22" t="s">
        <v>119</v>
      </c>
      <c r="G238" s="26" t="s">
        <v>153</v>
      </c>
      <c r="H238" s="15"/>
      <c r="I238" s="15"/>
      <c r="J238" s="16" t="s">
        <v>19</v>
      </c>
      <c r="K238" s="16">
        <v>1</v>
      </c>
      <c r="L238" s="16" t="s">
        <v>32</v>
      </c>
      <c r="M238" s="16">
        <v>28177</v>
      </c>
      <c r="N238" s="27">
        <v>46035</v>
      </c>
      <c r="O238" s="48" cm="1">
        <f t="array" ref="O238" xml:space="preserve"> IF(AND($L238 &lt;&gt; "", $L238 &lt;&gt; "Removed"), N238 + _xlfn.IFS(_xlfn.TEXTAFTER(L238," ",1) = "Days", _xlfn.NUMBERVALUE(_xlfn.TEXTBEFORE(L238," ",1)), L238="18 Months", 547, _xlfn.TEXTAFTER(L238," ",1) = "Years", _xlfn.NUMBERVALUE(_xlfn.TEXTBEFORE(L238," ",1))*365), "")</f>
        <v>46215</v>
      </c>
      <c r="P238" s="49">
        <v>28177</v>
      </c>
      <c r="Q238" s="15"/>
    </row>
    <row r="239" spans="2:17" ht="16.3" x14ac:dyDescent="0.3">
      <c r="B239" s="15" t="s">
        <v>92</v>
      </c>
      <c r="C239" s="15" t="s">
        <v>98</v>
      </c>
      <c r="D239" s="15"/>
      <c r="E239" s="15" t="s">
        <v>223</v>
      </c>
      <c r="F239" s="22" t="s">
        <v>119</v>
      </c>
      <c r="G239" s="26" t="s">
        <v>154</v>
      </c>
      <c r="H239" s="15"/>
      <c r="I239" s="15"/>
      <c r="J239" s="16" t="s">
        <v>212</v>
      </c>
      <c r="K239" s="16">
        <v>1</v>
      </c>
      <c r="L239" s="16" t="s">
        <v>24</v>
      </c>
      <c r="M239" s="16">
        <v>11308</v>
      </c>
      <c r="N239" s="27">
        <v>45887</v>
      </c>
      <c r="O239" s="48" cm="1">
        <f t="array" ref="O239" xml:space="preserve"> IF(AND($L239 &lt;&gt; "", $L239 &lt;&gt; "Removed"), N239 + _xlfn.IFS(_xlfn.TEXTAFTER(L239," ",1) = "Days", _xlfn.NUMBERVALUE(_xlfn.TEXTBEFORE(L239," ",1)), L239="18 Months", 547, _xlfn.TEXTAFTER(L239," ",1) = "Years", _xlfn.NUMBERVALUE(_xlfn.TEXTBEFORE(L239," ",1))*365), "")</f>
        <v>46252</v>
      </c>
      <c r="P239" s="49"/>
      <c r="Q239" s="15"/>
    </row>
    <row r="240" spans="2:17" ht="16.3" x14ac:dyDescent="0.3">
      <c r="B240" s="15"/>
      <c r="C240" s="15"/>
      <c r="D240" s="15"/>
      <c r="E240" s="15" t="s">
        <v>27</v>
      </c>
      <c r="F240" s="22"/>
      <c r="G240" s="26"/>
      <c r="H240" s="15"/>
      <c r="I240" s="15"/>
      <c r="J240" s="16"/>
      <c r="K240" s="16"/>
      <c r="L240" s="16"/>
      <c r="M240" s="16"/>
      <c r="N240" s="27"/>
      <c r="O240" s="48"/>
      <c r="P240" s="49"/>
      <c r="Q240" s="15"/>
    </row>
    <row r="241" spans="2:17" ht="16.3" x14ac:dyDescent="0.3">
      <c r="B241" s="15" t="s">
        <v>92</v>
      </c>
      <c r="C241" s="15" t="s">
        <v>98</v>
      </c>
      <c r="D241" s="15"/>
      <c r="E241" s="15" t="s">
        <v>142</v>
      </c>
      <c r="F241" s="22" t="s">
        <v>120</v>
      </c>
      <c r="G241" s="26" t="s">
        <v>153</v>
      </c>
      <c r="H241" s="15"/>
      <c r="I241" s="15"/>
      <c r="J241" s="16" t="s">
        <v>19</v>
      </c>
      <c r="K241" s="16">
        <v>1</v>
      </c>
      <c r="L241" s="16" t="s">
        <v>32</v>
      </c>
      <c r="M241" s="16">
        <v>28177</v>
      </c>
      <c r="N241" s="27">
        <v>46035</v>
      </c>
      <c r="O241" s="48" cm="1">
        <f t="array" ref="O241" xml:space="preserve"> IF(AND($L241 &lt;&gt; "", $L241 &lt;&gt; "Removed"), N241 + _xlfn.IFS(_xlfn.TEXTAFTER(L241," ",1) = "Days", _xlfn.NUMBERVALUE(_xlfn.TEXTBEFORE(L241," ",1)), L241="18 Months", 547, _xlfn.TEXTAFTER(L241," ",1) = "Years", _xlfn.NUMBERVALUE(_xlfn.TEXTBEFORE(L241," ",1))*365), "")</f>
        <v>46215</v>
      </c>
      <c r="P241" s="49">
        <v>28177</v>
      </c>
      <c r="Q241" s="15"/>
    </row>
    <row r="242" spans="2:17" ht="16.3" x14ac:dyDescent="0.3">
      <c r="B242" s="15" t="s">
        <v>92</v>
      </c>
      <c r="C242" s="15" t="s">
        <v>98</v>
      </c>
      <c r="D242" s="15"/>
      <c r="E242" s="15" t="s">
        <v>223</v>
      </c>
      <c r="F242" s="22" t="s">
        <v>120</v>
      </c>
      <c r="G242" s="26" t="s">
        <v>154</v>
      </c>
      <c r="H242" s="15"/>
      <c r="I242" s="15"/>
      <c r="J242" s="16" t="s">
        <v>212</v>
      </c>
      <c r="K242" s="16">
        <v>1</v>
      </c>
      <c r="L242" s="16" t="s">
        <v>24</v>
      </c>
      <c r="M242" s="16">
        <v>11308</v>
      </c>
      <c r="N242" s="27">
        <v>45887</v>
      </c>
      <c r="O242" s="48" cm="1">
        <f t="array" ref="O242" xml:space="preserve"> IF(AND($L242 &lt;&gt; "", $L242 &lt;&gt; "Removed"), N242 + _xlfn.IFS(_xlfn.TEXTAFTER(L242," ",1) = "Days", _xlfn.NUMBERVALUE(_xlfn.TEXTBEFORE(L242," ",1)), L242="18 Months", 547, _xlfn.TEXTAFTER(L242," ",1) = "Years", _xlfn.NUMBERVALUE(_xlfn.TEXTBEFORE(L242," ",1))*365), "")</f>
        <v>46252</v>
      </c>
      <c r="P242" s="49"/>
      <c r="Q242" s="15"/>
    </row>
    <row r="243" spans="2:17" ht="16.3" x14ac:dyDescent="0.3">
      <c r="B243" s="15"/>
      <c r="C243" s="15"/>
      <c r="D243" s="15"/>
      <c r="E243" s="15" t="s">
        <v>27</v>
      </c>
      <c r="F243" s="22"/>
      <c r="G243" s="26"/>
      <c r="H243" s="15"/>
      <c r="I243" s="15"/>
      <c r="J243" s="16"/>
      <c r="K243" s="16"/>
      <c r="L243" s="16"/>
      <c r="M243" s="16"/>
      <c r="N243" s="27"/>
      <c r="O243" s="48"/>
      <c r="P243" s="49"/>
      <c r="Q243" s="15"/>
    </row>
    <row r="244" spans="2:17" ht="16.3" x14ac:dyDescent="0.3">
      <c r="B244" s="15" t="s">
        <v>92</v>
      </c>
      <c r="C244" s="15" t="s">
        <v>98</v>
      </c>
      <c r="D244" s="15"/>
      <c r="E244" s="15" t="s">
        <v>142</v>
      </c>
      <c r="F244" s="22" t="s">
        <v>121</v>
      </c>
      <c r="G244" s="26" t="s">
        <v>153</v>
      </c>
      <c r="H244" s="15"/>
      <c r="I244" s="15"/>
      <c r="J244" s="16" t="s">
        <v>19</v>
      </c>
      <c r="K244" s="16">
        <v>1</v>
      </c>
      <c r="L244" s="16" t="s">
        <v>32</v>
      </c>
      <c r="M244" s="16">
        <v>28177</v>
      </c>
      <c r="N244" s="27">
        <v>46035</v>
      </c>
      <c r="O244" s="48" cm="1">
        <f t="array" ref="O244" xml:space="preserve"> IF(AND($L244 &lt;&gt; "", $L244 &lt;&gt; "Removed"), N244 + _xlfn.IFS(_xlfn.TEXTAFTER(L244," ",1) = "Days", _xlfn.NUMBERVALUE(_xlfn.TEXTBEFORE(L244," ",1)), L244="18 Months", 547, _xlfn.TEXTAFTER(L244," ",1) = "Years", _xlfn.NUMBERVALUE(_xlfn.TEXTBEFORE(L244," ",1))*365), "")</f>
        <v>46215</v>
      </c>
      <c r="P244" s="49">
        <v>28177</v>
      </c>
      <c r="Q244" s="15"/>
    </row>
    <row r="245" spans="2:17" ht="16.3" x14ac:dyDescent="0.3">
      <c r="B245" s="15" t="s">
        <v>92</v>
      </c>
      <c r="C245" s="15" t="s">
        <v>98</v>
      </c>
      <c r="D245" s="15"/>
      <c r="E245" s="15" t="s">
        <v>223</v>
      </c>
      <c r="F245" s="22" t="s">
        <v>121</v>
      </c>
      <c r="G245" s="26" t="s">
        <v>154</v>
      </c>
      <c r="H245" s="15"/>
      <c r="I245" s="15"/>
      <c r="J245" s="16" t="s">
        <v>212</v>
      </c>
      <c r="K245" s="16">
        <v>1</v>
      </c>
      <c r="L245" s="16" t="s">
        <v>24</v>
      </c>
      <c r="M245" s="16">
        <v>11308</v>
      </c>
      <c r="N245" s="27">
        <v>45887</v>
      </c>
      <c r="O245" s="48" cm="1">
        <f t="array" ref="O245" xml:space="preserve"> IF(AND($L245 &lt;&gt; "", $L245 &lt;&gt; "Removed"), N245 + _xlfn.IFS(_xlfn.TEXTAFTER(L245," ",1) = "Days", _xlfn.NUMBERVALUE(_xlfn.TEXTBEFORE(L245," ",1)), L245="18 Months", 547, _xlfn.TEXTAFTER(L245," ",1) = "Years", _xlfn.NUMBERVALUE(_xlfn.TEXTBEFORE(L245," ",1))*365), "")</f>
        <v>46252</v>
      </c>
      <c r="P245" s="49"/>
      <c r="Q245" s="15"/>
    </row>
    <row r="246" spans="2:17" ht="16.3" x14ac:dyDescent="0.3">
      <c r="B246" s="15"/>
      <c r="C246" s="15"/>
      <c r="D246" s="15"/>
      <c r="E246" s="15" t="s">
        <v>27</v>
      </c>
      <c r="F246" s="22"/>
      <c r="G246" s="26"/>
      <c r="H246" s="15"/>
      <c r="I246" s="15"/>
      <c r="J246" s="16"/>
      <c r="K246" s="16"/>
      <c r="L246" s="16"/>
      <c r="M246" s="16"/>
      <c r="N246" s="27"/>
      <c r="O246" s="48"/>
      <c r="P246" s="49"/>
      <c r="Q246" s="15"/>
    </row>
    <row r="247" spans="2:17" ht="16.3" x14ac:dyDescent="0.3">
      <c r="B247" s="15" t="s">
        <v>92</v>
      </c>
      <c r="C247" s="15" t="s">
        <v>98</v>
      </c>
      <c r="D247" s="15"/>
      <c r="E247" s="15" t="s">
        <v>142</v>
      </c>
      <c r="F247" s="22" t="s">
        <v>122</v>
      </c>
      <c r="G247" s="26" t="s">
        <v>153</v>
      </c>
      <c r="H247" s="15"/>
      <c r="I247" s="15"/>
      <c r="J247" s="16" t="s">
        <v>19</v>
      </c>
      <c r="K247" s="16">
        <v>1</v>
      </c>
      <c r="L247" s="16" t="s">
        <v>32</v>
      </c>
      <c r="M247" s="16">
        <v>28177</v>
      </c>
      <c r="N247" s="27">
        <v>46035</v>
      </c>
      <c r="O247" s="48" cm="1">
        <f t="array" ref="O247" xml:space="preserve"> IF(AND($L247 &lt;&gt; "", $L247 &lt;&gt; "Removed"), N247 + _xlfn.IFS(_xlfn.TEXTAFTER(L247," ",1) = "Days", _xlfn.NUMBERVALUE(_xlfn.TEXTBEFORE(L247," ",1)), L247="18 Months", 547, _xlfn.TEXTAFTER(L247," ",1) = "Years", _xlfn.NUMBERVALUE(_xlfn.TEXTBEFORE(L247," ",1))*365), "")</f>
        <v>46215</v>
      </c>
      <c r="P247" s="49">
        <v>28177</v>
      </c>
      <c r="Q247" s="15"/>
    </row>
    <row r="248" spans="2:17" ht="16.3" x14ac:dyDescent="0.3">
      <c r="B248" s="15" t="s">
        <v>92</v>
      </c>
      <c r="C248" s="15" t="s">
        <v>98</v>
      </c>
      <c r="D248" s="15"/>
      <c r="E248" s="15" t="s">
        <v>223</v>
      </c>
      <c r="F248" s="22" t="s">
        <v>122</v>
      </c>
      <c r="G248" s="26" t="s">
        <v>154</v>
      </c>
      <c r="H248" s="15"/>
      <c r="I248" s="15"/>
      <c r="J248" s="16" t="s">
        <v>212</v>
      </c>
      <c r="K248" s="16">
        <v>1</v>
      </c>
      <c r="L248" s="16" t="s">
        <v>24</v>
      </c>
      <c r="M248" s="16">
        <v>11308</v>
      </c>
      <c r="N248" s="27">
        <v>45887</v>
      </c>
      <c r="O248" s="48" cm="1">
        <f t="array" ref="O248" xml:space="preserve"> IF(AND($L248 &lt;&gt; "", $L248 &lt;&gt; "Removed"), N248 + _xlfn.IFS(_xlfn.TEXTAFTER(L248," ",1) = "Days", _xlfn.NUMBERVALUE(_xlfn.TEXTBEFORE(L248," ",1)), L248="18 Months", 547, _xlfn.TEXTAFTER(L248," ",1) = "Years", _xlfn.NUMBERVALUE(_xlfn.TEXTBEFORE(L248," ",1))*365), "")</f>
        <v>46252</v>
      </c>
      <c r="P248" s="49"/>
      <c r="Q248" s="15"/>
    </row>
    <row r="249" spans="2:17" ht="16.3" x14ac:dyDescent="0.3">
      <c r="B249" s="15"/>
      <c r="C249" s="15"/>
      <c r="D249" s="15"/>
      <c r="E249" s="15" t="s">
        <v>27</v>
      </c>
      <c r="F249" s="22"/>
      <c r="G249" s="26"/>
      <c r="H249" s="15"/>
      <c r="I249" s="15"/>
      <c r="J249" s="16"/>
      <c r="K249" s="16"/>
      <c r="L249" s="16"/>
      <c r="M249" s="16"/>
      <c r="N249" s="27"/>
      <c r="O249" s="48"/>
      <c r="P249" s="49"/>
      <c r="Q249" s="15"/>
    </row>
    <row r="250" spans="2:17" ht="16.3" x14ac:dyDescent="0.3">
      <c r="B250" s="15" t="s">
        <v>92</v>
      </c>
      <c r="C250" s="15" t="s">
        <v>98</v>
      </c>
      <c r="D250" s="15"/>
      <c r="E250" s="15" t="s">
        <v>142</v>
      </c>
      <c r="F250" s="22" t="s">
        <v>123</v>
      </c>
      <c r="G250" s="26" t="s">
        <v>153</v>
      </c>
      <c r="H250" s="15"/>
      <c r="I250" s="15"/>
      <c r="J250" s="16" t="s">
        <v>19</v>
      </c>
      <c r="K250" s="16">
        <v>1</v>
      </c>
      <c r="L250" s="16" t="s">
        <v>32</v>
      </c>
      <c r="M250" s="16">
        <v>28177</v>
      </c>
      <c r="N250" s="27">
        <v>46035</v>
      </c>
      <c r="O250" s="48" cm="1">
        <f t="array" ref="O250" xml:space="preserve"> IF(AND($L250 &lt;&gt; "", $L250 &lt;&gt; "Removed"), N250 + _xlfn.IFS(_xlfn.TEXTAFTER(L250," ",1) = "Days", _xlfn.NUMBERVALUE(_xlfn.TEXTBEFORE(L250," ",1)), L250="18 Months", 547, _xlfn.TEXTAFTER(L250," ",1) = "Years", _xlfn.NUMBERVALUE(_xlfn.TEXTBEFORE(L250," ",1))*365), "")</f>
        <v>46215</v>
      </c>
      <c r="P250" s="49">
        <v>28177</v>
      </c>
      <c r="Q250" s="15"/>
    </row>
    <row r="251" spans="2:17" ht="16.3" x14ac:dyDescent="0.3">
      <c r="B251" s="15" t="s">
        <v>92</v>
      </c>
      <c r="C251" s="15" t="s">
        <v>98</v>
      </c>
      <c r="D251" s="15"/>
      <c r="E251" s="15" t="s">
        <v>223</v>
      </c>
      <c r="F251" s="22" t="s">
        <v>123</v>
      </c>
      <c r="G251" s="26" t="s">
        <v>154</v>
      </c>
      <c r="H251" s="15"/>
      <c r="I251" s="15"/>
      <c r="J251" s="16" t="s">
        <v>212</v>
      </c>
      <c r="K251" s="16">
        <v>1</v>
      </c>
      <c r="L251" s="16" t="s">
        <v>24</v>
      </c>
      <c r="M251" s="16">
        <v>11308</v>
      </c>
      <c r="N251" s="27">
        <v>45887</v>
      </c>
      <c r="O251" s="48" cm="1">
        <f t="array" ref="O251" xml:space="preserve"> IF(AND($L251 &lt;&gt; "", $L251 &lt;&gt; "Removed"), N251 + _xlfn.IFS(_xlfn.TEXTAFTER(L251," ",1) = "Days", _xlfn.NUMBERVALUE(_xlfn.TEXTBEFORE(L251," ",1)), L251="18 Months", 547, _xlfn.TEXTAFTER(L251," ",1) = "Years", _xlfn.NUMBERVALUE(_xlfn.TEXTBEFORE(L251," ",1))*365), "")</f>
        <v>46252</v>
      </c>
      <c r="P251" s="49"/>
      <c r="Q251" s="15"/>
    </row>
    <row r="252" spans="2:17" ht="16.3" x14ac:dyDescent="0.3">
      <c r="B252" s="15"/>
      <c r="C252" s="15"/>
      <c r="D252" s="15"/>
      <c r="E252" s="15" t="s">
        <v>27</v>
      </c>
      <c r="F252" s="22"/>
      <c r="G252" s="26"/>
      <c r="H252" s="15"/>
      <c r="I252" s="15"/>
      <c r="J252" s="16" t="s">
        <v>238</v>
      </c>
      <c r="K252" s="16">
        <f>SUM(K205:K251)/2</f>
        <v>16</v>
      </c>
      <c r="L252" s="16"/>
      <c r="M252" s="16"/>
      <c r="N252" s="27"/>
      <c r="O252" s="48"/>
      <c r="P252" s="49"/>
      <c r="Q252" s="15"/>
    </row>
    <row r="253" spans="2:17" ht="16.3" x14ac:dyDescent="0.3">
      <c r="B253" s="15" t="s">
        <v>92</v>
      </c>
      <c r="C253" s="15" t="s">
        <v>98</v>
      </c>
      <c r="D253" s="15"/>
      <c r="E253" s="15" t="s">
        <v>142</v>
      </c>
      <c r="F253" s="22" t="s">
        <v>124</v>
      </c>
      <c r="G253" s="26" t="s">
        <v>153</v>
      </c>
      <c r="H253" s="15"/>
      <c r="I253" s="15"/>
      <c r="J253" s="16" t="s">
        <v>19</v>
      </c>
      <c r="K253" s="16">
        <v>2</v>
      </c>
      <c r="L253" s="16" t="s">
        <v>32</v>
      </c>
      <c r="M253" s="16">
        <v>28177</v>
      </c>
      <c r="N253" s="27">
        <v>46035</v>
      </c>
      <c r="O253" s="48" cm="1">
        <f t="array" ref="O253" xml:space="preserve"> IF(AND($L253 &lt;&gt; "", $L253 &lt;&gt; "Removed"), N253 + _xlfn.IFS(_xlfn.TEXTAFTER(L253," ",1) = "Days", _xlfn.NUMBERVALUE(_xlfn.TEXTBEFORE(L253," ",1)), L253="18 Months", 547, _xlfn.TEXTAFTER(L253," ",1) = "Years", _xlfn.NUMBERVALUE(_xlfn.TEXTBEFORE(L253," ",1))*365), "")</f>
        <v>46215</v>
      </c>
      <c r="P253" s="49">
        <v>28177</v>
      </c>
      <c r="Q253" s="15"/>
    </row>
    <row r="254" spans="2:17" ht="16.3" x14ac:dyDescent="0.3">
      <c r="B254" s="15" t="s">
        <v>92</v>
      </c>
      <c r="C254" s="15" t="s">
        <v>98</v>
      </c>
      <c r="D254" s="15"/>
      <c r="E254" s="15" t="s">
        <v>223</v>
      </c>
      <c r="F254" s="22" t="s">
        <v>124</v>
      </c>
      <c r="G254" s="26" t="s">
        <v>154</v>
      </c>
      <c r="H254" s="15"/>
      <c r="I254" s="15"/>
      <c r="J254" s="16" t="s">
        <v>212</v>
      </c>
      <c r="K254" s="16">
        <v>2</v>
      </c>
      <c r="L254" s="16" t="s">
        <v>24</v>
      </c>
      <c r="M254" s="16">
        <v>11308</v>
      </c>
      <c r="N254" s="27">
        <v>45887</v>
      </c>
      <c r="O254" s="48" cm="1">
        <f t="array" ref="O254" xml:space="preserve"> IF(AND($L254 &lt;&gt; "", $L254 &lt;&gt; "Removed"), N254 + _xlfn.IFS(_xlfn.TEXTAFTER(L254," ",1) = "Days", _xlfn.NUMBERVALUE(_xlfn.TEXTBEFORE(L254," ",1)), L254="18 Months", 547, _xlfn.TEXTAFTER(L254," ",1) = "Years", _xlfn.NUMBERVALUE(_xlfn.TEXTBEFORE(L254," ",1))*365), "")</f>
        <v>46252</v>
      </c>
      <c r="P254" s="49"/>
      <c r="Q254" s="15"/>
    </row>
    <row r="255" spans="2:17" ht="16.3" x14ac:dyDescent="0.3">
      <c r="B255" s="15"/>
      <c r="C255" s="15"/>
      <c r="D255" s="15"/>
      <c r="E255" s="15" t="s">
        <v>27</v>
      </c>
      <c r="F255" s="22"/>
      <c r="G255" s="26"/>
      <c r="H255" s="15"/>
      <c r="I255" s="15"/>
      <c r="J255" s="16"/>
      <c r="K255" s="16"/>
      <c r="L255" s="16"/>
      <c r="M255" s="16"/>
      <c r="N255" s="27"/>
      <c r="O255" s="48"/>
      <c r="P255" s="49"/>
      <c r="Q255" s="15"/>
    </row>
    <row r="256" spans="2:17" ht="16.3" x14ac:dyDescent="0.3">
      <c r="B256" s="15" t="s">
        <v>92</v>
      </c>
      <c r="C256" s="15" t="s">
        <v>98</v>
      </c>
      <c r="D256" s="15"/>
      <c r="E256" s="15" t="s">
        <v>142</v>
      </c>
      <c r="F256" s="22" t="s">
        <v>125</v>
      </c>
      <c r="G256" s="26" t="s">
        <v>153</v>
      </c>
      <c r="H256" s="15"/>
      <c r="I256" s="15"/>
      <c r="J256" s="16" t="s">
        <v>19</v>
      </c>
      <c r="K256" s="16">
        <v>1</v>
      </c>
      <c r="L256" s="16" t="s">
        <v>32</v>
      </c>
      <c r="M256" s="16">
        <v>28177</v>
      </c>
      <c r="N256" s="27">
        <v>46035</v>
      </c>
      <c r="O256" s="48" cm="1">
        <f t="array" ref="O256" xml:space="preserve"> IF(AND($L256 &lt;&gt; "", $L256 &lt;&gt; "Removed"), N256 + _xlfn.IFS(_xlfn.TEXTAFTER(L256," ",1) = "Days", _xlfn.NUMBERVALUE(_xlfn.TEXTBEFORE(L256," ",1)), L256="18 Months", 547, _xlfn.TEXTAFTER(L256," ",1) = "Years", _xlfn.NUMBERVALUE(_xlfn.TEXTBEFORE(L256," ",1))*365), "")</f>
        <v>46215</v>
      </c>
      <c r="P256" s="49">
        <v>28177</v>
      </c>
      <c r="Q256" s="15"/>
    </row>
    <row r="257" spans="2:17" ht="16.3" x14ac:dyDescent="0.3">
      <c r="B257" s="15" t="s">
        <v>92</v>
      </c>
      <c r="C257" s="15" t="s">
        <v>98</v>
      </c>
      <c r="D257" s="15"/>
      <c r="E257" s="15" t="s">
        <v>223</v>
      </c>
      <c r="F257" s="22" t="s">
        <v>125</v>
      </c>
      <c r="G257" s="26" t="s">
        <v>154</v>
      </c>
      <c r="H257" s="15"/>
      <c r="I257" s="15"/>
      <c r="J257" s="16" t="s">
        <v>212</v>
      </c>
      <c r="K257" s="16">
        <v>1</v>
      </c>
      <c r="L257" s="16" t="s">
        <v>24</v>
      </c>
      <c r="M257" s="16">
        <v>11308</v>
      </c>
      <c r="N257" s="27">
        <v>45887</v>
      </c>
      <c r="O257" s="48" cm="1">
        <f t="array" ref="O257" xml:space="preserve"> IF(AND($L257 &lt;&gt; "", $L257 &lt;&gt; "Removed"), N257 + _xlfn.IFS(_xlfn.TEXTAFTER(L257," ",1) = "Days", _xlfn.NUMBERVALUE(_xlfn.TEXTBEFORE(L257," ",1)), L257="18 Months", 547, _xlfn.TEXTAFTER(L257," ",1) = "Years", _xlfn.NUMBERVALUE(_xlfn.TEXTBEFORE(L257," ",1))*365), "")</f>
        <v>46252</v>
      </c>
      <c r="P257" s="49"/>
      <c r="Q257" s="15"/>
    </row>
    <row r="258" spans="2:17" ht="16.3" x14ac:dyDescent="0.3">
      <c r="B258" s="15"/>
      <c r="C258" s="15"/>
      <c r="D258" s="15"/>
      <c r="E258" s="15" t="s">
        <v>27</v>
      </c>
      <c r="F258" s="22"/>
      <c r="G258" s="26"/>
      <c r="H258" s="15"/>
      <c r="I258" s="15"/>
      <c r="J258" s="16"/>
      <c r="K258" s="16"/>
      <c r="L258" s="16"/>
      <c r="M258" s="16"/>
      <c r="N258" s="27"/>
      <c r="O258" s="48"/>
      <c r="P258" s="49"/>
      <c r="Q258" s="15"/>
    </row>
    <row r="259" spans="2:17" ht="16.3" x14ac:dyDescent="0.3">
      <c r="B259" s="15" t="s">
        <v>92</v>
      </c>
      <c r="C259" s="15" t="s">
        <v>98</v>
      </c>
      <c r="D259" s="15"/>
      <c r="E259" s="15" t="s">
        <v>142</v>
      </c>
      <c r="F259" s="22" t="s">
        <v>126</v>
      </c>
      <c r="G259" s="26" t="s">
        <v>153</v>
      </c>
      <c r="H259" s="15"/>
      <c r="I259" s="15"/>
      <c r="J259" s="16" t="s">
        <v>19</v>
      </c>
      <c r="K259" s="16">
        <v>1</v>
      </c>
      <c r="L259" s="16" t="s">
        <v>32</v>
      </c>
      <c r="M259" s="16">
        <v>28177</v>
      </c>
      <c r="N259" s="27">
        <v>46035</v>
      </c>
      <c r="O259" s="48" cm="1">
        <f t="array" ref="O259" xml:space="preserve"> IF(AND($L259 &lt;&gt; "", $L259 &lt;&gt; "Removed"), N259 + _xlfn.IFS(_xlfn.TEXTAFTER(L259," ",1) = "Days", _xlfn.NUMBERVALUE(_xlfn.TEXTBEFORE(L259," ",1)), L259="18 Months", 547, _xlfn.TEXTAFTER(L259," ",1) = "Years", _xlfn.NUMBERVALUE(_xlfn.TEXTBEFORE(L259," ",1))*365), "")</f>
        <v>46215</v>
      </c>
      <c r="P259" s="49">
        <v>28177</v>
      </c>
      <c r="Q259" s="15"/>
    </row>
    <row r="260" spans="2:17" ht="16.3" x14ac:dyDescent="0.3">
      <c r="B260" s="15" t="s">
        <v>92</v>
      </c>
      <c r="C260" s="15" t="s">
        <v>98</v>
      </c>
      <c r="D260" s="15"/>
      <c r="E260" s="15" t="s">
        <v>223</v>
      </c>
      <c r="F260" s="22" t="s">
        <v>126</v>
      </c>
      <c r="G260" s="26" t="s">
        <v>154</v>
      </c>
      <c r="H260" s="15"/>
      <c r="I260" s="15"/>
      <c r="J260" s="16" t="s">
        <v>212</v>
      </c>
      <c r="K260" s="16">
        <v>1</v>
      </c>
      <c r="L260" s="16" t="s">
        <v>24</v>
      </c>
      <c r="M260" s="16">
        <v>11308</v>
      </c>
      <c r="N260" s="27">
        <v>45887</v>
      </c>
      <c r="O260" s="48" cm="1">
        <f t="array" ref="O260" xml:space="preserve"> IF(AND($L260 &lt;&gt; "", $L260 &lt;&gt; "Removed"), N260 + _xlfn.IFS(_xlfn.TEXTAFTER(L260," ",1) = "Days", _xlfn.NUMBERVALUE(_xlfn.TEXTBEFORE(L260," ",1)), L260="18 Months", 547, _xlfn.TEXTAFTER(L260," ",1) = "Years", _xlfn.NUMBERVALUE(_xlfn.TEXTBEFORE(L260," ",1))*365), "")</f>
        <v>46252</v>
      </c>
      <c r="P260" s="49"/>
      <c r="Q260" s="15"/>
    </row>
    <row r="261" spans="2:17" ht="16.3" x14ac:dyDescent="0.3">
      <c r="B261" s="15"/>
      <c r="C261" s="15"/>
      <c r="D261" s="15"/>
      <c r="E261" s="15" t="s">
        <v>27</v>
      </c>
      <c r="F261" s="22"/>
      <c r="G261" s="26"/>
      <c r="H261" s="15"/>
      <c r="I261" s="15"/>
      <c r="J261" s="16"/>
      <c r="K261" s="16"/>
      <c r="L261" s="16"/>
      <c r="M261" s="16"/>
      <c r="N261" s="27"/>
      <c r="O261" s="48"/>
      <c r="P261" s="49"/>
      <c r="Q261" s="15"/>
    </row>
    <row r="262" spans="2:17" ht="16.3" x14ac:dyDescent="0.3">
      <c r="B262" s="15" t="s">
        <v>92</v>
      </c>
      <c r="C262" s="15" t="s">
        <v>98</v>
      </c>
      <c r="D262" s="15"/>
      <c r="E262" s="15" t="s">
        <v>142</v>
      </c>
      <c r="F262" s="22" t="s">
        <v>127</v>
      </c>
      <c r="G262" s="26" t="s">
        <v>153</v>
      </c>
      <c r="H262" s="15"/>
      <c r="I262" s="15"/>
      <c r="J262" s="16" t="s">
        <v>19</v>
      </c>
      <c r="K262" s="16">
        <v>1</v>
      </c>
      <c r="L262" s="16" t="s">
        <v>32</v>
      </c>
      <c r="M262" s="16">
        <v>28177</v>
      </c>
      <c r="N262" s="27">
        <v>46035</v>
      </c>
      <c r="O262" s="48" cm="1">
        <f t="array" ref="O262" xml:space="preserve"> IF(AND($L262 &lt;&gt; "", $L262 &lt;&gt; "Removed"), N262 + _xlfn.IFS(_xlfn.TEXTAFTER(L262," ",1) = "Days", _xlfn.NUMBERVALUE(_xlfn.TEXTBEFORE(L262," ",1)), L262="18 Months", 547, _xlfn.TEXTAFTER(L262," ",1) = "Years", _xlfn.NUMBERVALUE(_xlfn.TEXTBEFORE(L262," ",1))*365), "")</f>
        <v>46215</v>
      </c>
      <c r="P262" s="49">
        <v>28177</v>
      </c>
      <c r="Q262" s="15"/>
    </row>
    <row r="263" spans="2:17" ht="16.3" x14ac:dyDescent="0.3">
      <c r="B263" s="15" t="s">
        <v>92</v>
      </c>
      <c r="C263" s="15" t="s">
        <v>98</v>
      </c>
      <c r="D263" s="15"/>
      <c r="E263" s="15" t="s">
        <v>223</v>
      </c>
      <c r="F263" s="22" t="s">
        <v>127</v>
      </c>
      <c r="G263" s="26" t="s">
        <v>154</v>
      </c>
      <c r="H263" s="15"/>
      <c r="I263" s="15"/>
      <c r="J263" s="16" t="s">
        <v>212</v>
      </c>
      <c r="K263" s="16">
        <v>1</v>
      </c>
      <c r="L263" s="16" t="s">
        <v>24</v>
      </c>
      <c r="M263" s="16">
        <v>11308</v>
      </c>
      <c r="N263" s="27">
        <v>45887</v>
      </c>
      <c r="O263" s="48" cm="1">
        <f t="array" ref="O263" xml:space="preserve"> IF(AND($L263 &lt;&gt; "", $L263 &lt;&gt; "Removed"), N263 + _xlfn.IFS(_xlfn.TEXTAFTER(L263," ",1) = "Days", _xlfn.NUMBERVALUE(_xlfn.TEXTBEFORE(L263," ",1)), L263="18 Months", 547, _xlfn.TEXTAFTER(L263," ",1) = "Years", _xlfn.NUMBERVALUE(_xlfn.TEXTBEFORE(L263," ",1))*365), "")</f>
        <v>46252</v>
      </c>
      <c r="P263" s="49"/>
      <c r="Q263" s="15"/>
    </row>
    <row r="264" spans="2:17" ht="16.3" x14ac:dyDescent="0.3">
      <c r="B264" s="15"/>
      <c r="C264" s="15"/>
      <c r="D264" s="15"/>
      <c r="E264" s="15" t="s">
        <v>27</v>
      </c>
      <c r="F264" s="22"/>
      <c r="G264" s="26"/>
      <c r="H264" s="15"/>
      <c r="I264" s="15"/>
      <c r="J264" s="16"/>
      <c r="K264" s="16"/>
      <c r="L264" s="16"/>
      <c r="M264" s="16"/>
      <c r="N264" s="27"/>
      <c r="O264" s="48"/>
      <c r="P264" s="49"/>
      <c r="Q264" s="15"/>
    </row>
    <row r="265" spans="2:17" ht="16.3" x14ac:dyDescent="0.3">
      <c r="B265" s="15" t="s">
        <v>92</v>
      </c>
      <c r="C265" s="15" t="s">
        <v>98</v>
      </c>
      <c r="D265" s="15"/>
      <c r="E265" s="15" t="s">
        <v>142</v>
      </c>
      <c r="F265" s="22" t="s">
        <v>128</v>
      </c>
      <c r="G265" s="26" t="s">
        <v>153</v>
      </c>
      <c r="H265" s="15"/>
      <c r="I265" s="15"/>
      <c r="J265" s="16" t="s">
        <v>19</v>
      </c>
      <c r="K265" s="16">
        <v>1</v>
      </c>
      <c r="L265" s="16" t="s">
        <v>32</v>
      </c>
      <c r="M265" s="16">
        <v>28177</v>
      </c>
      <c r="N265" s="27">
        <v>46035</v>
      </c>
      <c r="O265" s="48" cm="1">
        <f t="array" ref="O265" xml:space="preserve"> IF(AND($L265 &lt;&gt; "", $L265 &lt;&gt; "Removed"), N265 + _xlfn.IFS(_xlfn.TEXTAFTER(L265," ",1) = "Days", _xlfn.NUMBERVALUE(_xlfn.TEXTBEFORE(L265," ",1)), L265="18 Months", 547, _xlfn.TEXTAFTER(L265," ",1) = "Years", _xlfn.NUMBERVALUE(_xlfn.TEXTBEFORE(L265," ",1))*365), "")</f>
        <v>46215</v>
      </c>
      <c r="P265" s="49">
        <v>28177</v>
      </c>
      <c r="Q265" s="15"/>
    </row>
    <row r="266" spans="2:17" ht="16.3" x14ac:dyDescent="0.3">
      <c r="B266" s="15" t="s">
        <v>92</v>
      </c>
      <c r="C266" s="15" t="s">
        <v>98</v>
      </c>
      <c r="D266" s="15"/>
      <c r="E266" s="15" t="s">
        <v>223</v>
      </c>
      <c r="F266" s="22" t="s">
        <v>128</v>
      </c>
      <c r="G266" s="26" t="s">
        <v>154</v>
      </c>
      <c r="H266" s="15"/>
      <c r="I266" s="15"/>
      <c r="J266" s="16" t="s">
        <v>212</v>
      </c>
      <c r="K266" s="16">
        <v>1</v>
      </c>
      <c r="L266" s="16" t="s">
        <v>24</v>
      </c>
      <c r="M266" s="16">
        <v>11308</v>
      </c>
      <c r="N266" s="27">
        <v>45887</v>
      </c>
      <c r="O266" s="48" cm="1">
        <f t="array" ref="O266" xml:space="preserve"> IF(AND($L266 &lt;&gt; "", $L266 &lt;&gt; "Removed"), N266 + _xlfn.IFS(_xlfn.TEXTAFTER(L266," ",1) = "Days", _xlfn.NUMBERVALUE(_xlfn.TEXTBEFORE(L266," ",1)), L266="18 Months", 547, _xlfn.TEXTAFTER(L266," ",1) = "Years", _xlfn.NUMBERVALUE(_xlfn.TEXTBEFORE(L266," ",1))*365), "")</f>
        <v>46252</v>
      </c>
      <c r="P266" s="49"/>
      <c r="Q266" s="15"/>
    </row>
    <row r="267" spans="2:17" ht="16.3" x14ac:dyDescent="0.3">
      <c r="B267" s="15"/>
      <c r="C267" s="15"/>
      <c r="D267" s="15"/>
      <c r="E267" s="15" t="s">
        <v>27</v>
      </c>
      <c r="F267" s="22"/>
      <c r="G267" s="26"/>
      <c r="H267" s="15"/>
      <c r="I267" s="15"/>
      <c r="J267" s="16"/>
      <c r="K267" s="16"/>
      <c r="L267" s="16"/>
      <c r="M267" s="16"/>
      <c r="N267" s="27"/>
      <c r="O267" s="48"/>
      <c r="P267" s="49"/>
      <c r="Q267" s="15"/>
    </row>
    <row r="268" spans="2:17" ht="16.3" x14ac:dyDescent="0.3">
      <c r="B268" s="15" t="s">
        <v>92</v>
      </c>
      <c r="C268" s="15" t="s">
        <v>98</v>
      </c>
      <c r="D268" s="15"/>
      <c r="E268" s="15" t="s">
        <v>142</v>
      </c>
      <c r="F268" s="22" t="s">
        <v>129</v>
      </c>
      <c r="G268" s="26" t="s">
        <v>153</v>
      </c>
      <c r="H268" s="15"/>
      <c r="I268" s="15"/>
      <c r="J268" s="16" t="s">
        <v>21</v>
      </c>
      <c r="K268" s="16">
        <v>1</v>
      </c>
      <c r="L268" s="16" t="s">
        <v>32</v>
      </c>
      <c r="M268" s="16">
        <v>28177</v>
      </c>
      <c r="N268" s="27">
        <v>46035</v>
      </c>
      <c r="O268" s="48" cm="1">
        <f t="array" ref="O268" xml:space="preserve"> IF(AND($L268 &lt;&gt; "", $L268 &lt;&gt; "Removed"), N268 + _xlfn.IFS(_xlfn.TEXTAFTER(L268," ",1) = "Days", _xlfn.NUMBERVALUE(_xlfn.TEXTBEFORE(L268," ",1)), L268="18 Months", 547, _xlfn.TEXTAFTER(L268," ",1) = "Years", _xlfn.NUMBERVALUE(_xlfn.TEXTBEFORE(L268," ",1))*365), "")</f>
        <v>46215</v>
      </c>
      <c r="P268" s="49">
        <v>28177</v>
      </c>
      <c r="Q268" s="15"/>
    </row>
    <row r="269" spans="2:17" ht="16.3" x14ac:dyDescent="0.3">
      <c r="B269" s="15" t="s">
        <v>92</v>
      </c>
      <c r="C269" s="15" t="s">
        <v>98</v>
      </c>
      <c r="D269" s="15"/>
      <c r="E269" s="15" t="s">
        <v>223</v>
      </c>
      <c r="F269" s="22" t="s">
        <v>129</v>
      </c>
      <c r="G269" s="26" t="s">
        <v>154</v>
      </c>
      <c r="H269" s="15"/>
      <c r="I269" s="15"/>
      <c r="J269" s="16" t="s">
        <v>213</v>
      </c>
      <c r="K269" s="16">
        <v>1</v>
      </c>
      <c r="L269" s="16" t="s">
        <v>24</v>
      </c>
      <c r="M269" s="16">
        <v>11308</v>
      </c>
      <c r="N269" s="27">
        <v>45887</v>
      </c>
      <c r="O269" s="48" cm="1">
        <f t="array" ref="O269" xml:space="preserve"> IF(AND($L269 &lt;&gt; "", $L269 &lt;&gt; "Removed"), N269 + _xlfn.IFS(_xlfn.TEXTAFTER(L269," ",1) = "Days", _xlfn.NUMBERVALUE(_xlfn.TEXTBEFORE(L269," ",1)), L269="18 Months", 547, _xlfn.TEXTAFTER(L269," ",1) = "Years", _xlfn.NUMBERVALUE(_xlfn.TEXTBEFORE(L269," ",1))*365), "")</f>
        <v>46252</v>
      </c>
      <c r="P269" s="49"/>
      <c r="Q269" s="15"/>
    </row>
    <row r="270" spans="2:17" ht="16.3" x14ac:dyDescent="0.3">
      <c r="B270" s="15"/>
      <c r="C270" s="15"/>
      <c r="D270" s="15"/>
      <c r="E270" s="15" t="s">
        <v>27</v>
      </c>
      <c r="F270" s="22"/>
      <c r="G270" s="26"/>
      <c r="H270" s="15"/>
      <c r="I270" s="15"/>
      <c r="J270" s="16"/>
      <c r="K270" s="16"/>
      <c r="L270" s="16"/>
      <c r="M270" s="16"/>
      <c r="N270" s="27"/>
      <c r="O270" s="48"/>
      <c r="P270" s="49"/>
      <c r="Q270" s="15"/>
    </row>
    <row r="271" spans="2:17" ht="16.3" x14ac:dyDescent="0.3">
      <c r="B271" s="15" t="s">
        <v>92</v>
      </c>
      <c r="C271" s="15" t="s">
        <v>98</v>
      </c>
      <c r="D271" s="15"/>
      <c r="E271" s="15" t="s">
        <v>142</v>
      </c>
      <c r="F271" s="22" t="s">
        <v>130</v>
      </c>
      <c r="G271" s="26" t="s">
        <v>153</v>
      </c>
      <c r="H271" s="15"/>
      <c r="I271" s="15"/>
      <c r="J271" s="16" t="s">
        <v>19</v>
      </c>
      <c r="K271" s="16">
        <v>1</v>
      </c>
      <c r="L271" s="16" t="s">
        <v>32</v>
      </c>
      <c r="M271" s="16">
        <v>28177</v>
      </c>
      <c r="N271" s="27">
        <v>46035</v>
      </c>
      <c r="O271" s="48" cm="1">
        <f t="array" ref="O271" xml:space="preserve"> IF(AND($L271 &lt;&gt; "", $L271 &lt;&gt; "Removed"), N271 + _xlfn.IFS(_xlfn.TEXTAFTER(L271," ",1) = "Days", _xlfn.NUMBERVALUE(_xlfn.TEXTBEFORE(L271," ",1)), L271="18 Months", 547, _xlfn.TEXTAFTER(L271," ",1) = "Years", _xlfn.NUMBERVALUE(_xlfn.TEXTBEFORE(L271," ",1))*365), "")</f>
        <v>46215</v>
      </c>
      <c r="P271" s="49">
        <v>28177</v>
      </c>
      <c r="Q271" s="15"/>
    </row>
    <row r="272" spans="2:17" ht="16.3" x14ac:dyDescent="0.3">
      <c r="B272" s="15" t="s">
        <v>92</v>
      </c>
      <c r="C272" s="15" t="s">
        <v>98</v>
      </c>
      <c r="D272" s="15"/>
      <c r="E272" s="15" t="s">
        <v>223</v>
      </c>
      <c r="F272" s="22" t="s">
        <v>130</v>
      </c>
      <c r="G272" s="26" t="s">
        <v>154</v>
      </c>
      <c r="H272" s="15"/>
      <c r="I272" s="15"/>
      <c r="J272" s="16" t="s">
        <v>212</v>
      </c>
      <c r="K272" s="16">
        <v>1</v>
      </c>
      <c r="L272" s="16" t="s">
        <v>24</v>
      </c>
      <c r="M272" s="16">
        <v>11308</v>
      </c>
      <c r="N272" s="27">
        <v>45887</v>
      </c>
      <c r="O272" s="48" cm="1">
        <f t="array" ref="O272" xml:space="preserve"> IF(AND($L272 &lt;&gt; "", $L272 &lt;&gt; "Removed"), N272 + _xlfn.IFS(_xlfn.TEXTAFTER(L272," ",1) = "Days", _xlfn.NUMBERVALUE(_xlfn.TEXTBEFORE(L272," ",1)), L272="18 Months", 547, _xlfn.TEXTAFTER(L272," ",1) = "Years", _xlfn.NUMBERVALUE(_xlfn.TEXTBEFORE(L272," ",1))*365), "")</f>
        <v>46252</v>
      </c>
      <c r="P272" s="49"/>
      <c r="Q272" s="15"/>
    </row>
    <row r="273" spans="2:17" ht="16.3" x14ac:dyDescent="0.3">
      <c r="B273" s="15"/>
      <c r="C273" s="15"/>
      <c r="D273" s="15"/>
      <c r="E273" s="15" t="s">
        <v>27</v>
      </c>
      <c r="F273" s="22"/>
      <c r="G273" s="26"/>
      <c r="H273" s="15"/>
      <c r="I273" s="15"/>
      <c r="J273" s="16"/>
      <c r="K273" s="16"/>
      <c r="L273" s="16"/>
      <c r="M273" s="16"/>
      <c r="N273" s="27"/>
      <c r="O273" s="48"/>
      <c r="P273" s="49"/>
      <c r="Q273" s="15"/>
    </row>
    <row r="274" spans="2:17" ht="16.3" x14ac:dyDescent="0.3">
      <c r="B274" s="15" t="s">
        <v>92</v>
      </c>
      <c r="C274" s="15" t="s">
        <v>98</v>
      </c>
      <c r="D274" s="15"/>
      <c r="E274" s="15" t="s">
        <v>142</v>
      </c>
      <c r="F274" s="22" t="s">
        <v>131</v>
      </c>
      <c r="G274" s="26" t="s">
        <v>153</v>
      </c>
      <c r="H274" s="15"/>
      <c r="I274" s="15"/>
      <c r="J274" s="16" t="s">
        <v>19</v>
      </c>
      <c r="K274" s="16">
        <v>1</v>
      </c>
      <c r="L274" s="16" t="s">
        <v>32</v>
      </c>
      <c r="M274" s="16">
        <v>28177</v>
      </c>
      <c r="N274" s="27">
        <v>46035</v>
      </c>
      <c r="O274" s="48" cm="1">
        <f t="array" ref="O274" xml:space="preserve"> IF(AND($L274 &lt;&gt; "", $L274 &lt;&gt; "Removed"), N274 + _xlfn.IFS(_xlfn.TEXTAFTER(L274," ",1) = "Days", _xlfn.NUMBERVALUE(_xlfn.TEXTBEFORE(L274," ",1)), L274="18 Months", 547, _xlfn.TEXTAFTER(L274," ",1) = "Years", _xlfn.NUMBERVALUE(_xlfn.TEXTBEFORE(L274," ",1))*365), "")</f>
        <v>46215</v>
      </c>
      <c r="P274" s="49">
        <v>28177</v>
      </c>
      <c r="Q274" s="15"/>
    </row>
    <row r="275" spans="2:17" ht="16.3" x14ac:dyDescent="0.3">
      <c r="B275" s="15" t="s">
        <v>92</v>
      </c>
      <c r="C275" s="15" t="s">
        <v>98</v>
      </c>
      <c r="D275" s="15"/>
      <c r="E275" s="15" t="s">
        <v>223</v>
      </c>
      <c r="F275" s="22" t="s">
        <v>131</v>
      </c>
      <c r="G275" s="26" t="s">
        <v>154</v>
      </c>
      <c r="H275" s="15"/>
      <c r="I275" s="15"/>
      <c r="J275" s="16" t="s">
        <v>212</v>
      </c>
      <c r="K275" s="16">
        <v>1</v>
      </c>
      <c r="L275" s="16" t="s">
        <v>24</v>
      </c>
      <c r="M275" s="16">
        <v>11308</v>
      </c>
      <c r="N275" s="27">
        <v>45887</v>
      </c>
      <c r="O275" s="48" cm="1">
        <f t="array" ref="O275" xml:space="preserve"> IF(AND($L275 &lt;&gt; "", $L275 &lt;&gt; "Removed"), N275 + _xlfn.IFS(_xlfn.TEXTAFTER(L275," ",1) = "Days", _xlfn.NUMBERVALUE(_xlfn.TEXTBEFORE(L275," ",1)), L275="18 Months", 547, _xlfn.TEXTAFTER(L275," ",1) = "Years", _xlfn.NUMBERVALUE(_xlfn.TEXTBEFORE(L275," ",1))*365), "")</f>
        <v>46252</v>
      </c>
      <c r="P275" s="49"/>
      <c r="Q275" s="15"/>
    </row>
    <row r="276" spans="2:17" ht="16.3" x14ac:dyDescent="0.3">
      <c r="B276" s="15"/>
      <c r="C276" s="15"/>
      <c r="D276" s="15"/>
      <c r="E276" s="15" t="s">
        <v>27</v>
      </c>
      <c r="F276" s="22"/>
      <c r="G276" s="26"/>
      <c r="H276" s="15"/>
      <c r="I276" s="15"/>
      <c r="J276" s="16"/>
      <c r="K276" s="16"/>
      <c r="L276" s="16"/>
      <c r="M276" s="16"/>
      <c r="N276" s="27"/>
      <c r="O276" s="48"/>
      <c r="P276" s="49"/>
      <c r="Q276" s="15"/>
    </row>
    <row r="277" spans="2:17" ht="16.3" x14ac:dyDescent="0.3">
      <c r="B277" s="15" t="s">
        <v>92</v>
      </c>
      <c r="C277" s="15" t="s">
        <v>98</v>
      </c>
      <c r="D277" s="15"/>
      <c r="E277" s="15" t="s">
        <v>142</v>
      </c>
      <c r="F277" s="22" t="s">
        <v>132</v>
      </c>
      <c r="G277" s="26" t="s">
        <v>153</v>
      </c>
      <c r="H277" s="15"/>
      <c r="I277" s="15"/>
      <c r="J277" s="16" t="s">
        <v>19</v>
      </c>
      <c r="K277" s="16">
        <v>1</v>
      </c>
      <c r="L277" s="16" t="s">
        <v>32</v>
      </c>
      <c r="M277" s="16">
        <v>28177</v>
      </c>
      <c r="N277" s="27">
        <v>46035</v>
      </c>
      <c r="O277" s="48" cm="1">
        <f t="array" ref="O277" xml:space="preserve"> IF(AND($L277 &lt;&gt; "", $L277 &lt;&gt; "Removed"), N277 + _xlfn.IFS(_xlfn.TEXTAFTER(L277," ",1) = "Days", _xlfn.NUMBERVALUE(_xlfn.TEXTBEFORE(L277," ",1)), L277="18 Months", 547, _xlfn.TEXTAFTER(L277," ",1) = "Years", _xlfn.NUMBERVALUE(_xlfn.TEXTBEFORE(L277," ",1))*365), "")</f>
        <v>46215</v>
      </c>
      <c r="P277" s="49">
        <v>28177</v>
      </c>
      <c r="Q277" s="15"/>
    </row>
    <row r="278" spans="2:17" ht="16.3" x14ac:dyDescent="0.3">
      <c r="B278" s="15" t="s">
        <v>92</v>
      </c>
      <c r="C278" s="15" t="s">
        <v>98</v>
      </c>
      <c r="D278" s="15"/>
      <c r="E278" s="15" t="s">
        <v>223</v>
      </c>
      <c r="F278" s="22" t="s">
        <v>132</v>
      </c>
      <c r="G278" s="26" t="s">
        <v>154</v>
      </c>
      <c r="H278" s="15"/>
      <c r="I278" s="15"/>
      <c r="J278" s="16" t="s">
        <v>212</v>
      </c>
      <c r="K278" s="16">
        <v>1</v>
      </c>
      <c r="L278" s="16" t="s">
        <v>24</v>
      </c>
      <c r="M278" s="16">
        <v>11308</v>
      </c>
      <c r="N278" s="27">
        <v>45887</v>
      </c>
      <c r="O278" s="48" cm="1">
        <f t="array" ref="O278" xml:space="preserve"> IF(AND($L278 &lt;&gt; "", $L278 &lt;&gt; "Removed"), N278 + _xlfn.IFS(_xlfn.TEXTAFTER(L278," ",1) = "Days", _xlfn.NUMBERVALUE(_xlfn.TEXTBEFORE(L278," ",1)), L278="18 Months", 547, _xlfn.TEXTAFTER(L278," ",1) = "Years", _xlfn.NUMBERVALUE(_xlfn.TEXTBEFORE(L278," ",1))*365), "")</f>
        <v>46252</v>
      </c>
      <c r="P278" s="49"/>
      <c r="Q278" s="15"/>
    </row>
    <row r="279" spans="2:17" ht="16.3" x14ac:dyDescent="0.3">
      <c r="B279" s="15"/>
      <c r="C279" s="15"/>
      <c r="D279" s="15"/>
      <c r="E279" s="15" t="s">
        <v>27</v>
      </c>
      <c r="F279" s="22"/>
      <c r="G279" s="26"/>
      <c r="H279" s="15"/>
      <c r="I279" s="15"/>
      <c r="J279" s="16"/>
      <c r="K279" s="16"/>
      <c r="L279" s="16"/>
      <c r="M279" s="16"/>
      <c r="N279" s="27"/>
      <c r="O279" s="48"/>
      <c r="P279" s="49"/>
      <c r="Q279" s="15"/>
    </row>
    <row r="280" spans="2:17" ht="16.3" x14ac:dyDescent="0.3">
      <c r="B280" s="15" t="s">
        <v>92</v>
      </c>
      <c r="C280" s="15" t="s">
        <v>98</v>
      </c>
      <c r="D280" s="15"/>
      <c r="E280" s="15" t="s">
        <v>142</v>
      </c>
      <c r="F280" s="22" t="s">
        <v>133</v>
      </c>
      <c r="G280" s="26" t="s">
        <v>153</v>
      </c>
      <c r="H280" s="15"/>
      <c r="I280" s="15"/>
      <c r="J280" s="16" t="s">
        <v>19</v>
      </c>
      <c r="K280" s="16">
        <v>1</v>
      </c>
      <c r="L280" s="16" t="s">
        <v>32</v>
      </c>
      <c r="M280" s="16">
        <v>28177</v>
      </c>
      <c r="N280" s="27">
        <v>46035</v>
      </c>
      <c r="O280" s="48" cm="1">
        <f t="array" ref="O280" xml:space="preserve"> IF(AND($L280 &lt;&gt; "", $L280 &lt;&gt; "Removed"), N280 + _xlfn.IFS(_xlfn.TEXTAFTER(L280," ",1) = "Days", _xlfn.NUMBERVALUE(_xlfn.TEXTBEFORE(L280," ",1)), L280="18 Months", 547, _xlfn.TEXTAFTER(L280," ",1) = "Years", _xlfn.NUMBERVALUE(_xlfn.TEXTBEFORE(L280," ",1))*365), "")</f>
        <v>46215</v>
      </c>
      <c r="P280" s="49">
        <v>28177</v>
      </c>
      <c r="Q280" s="15"/>
    </row>
    <row r="281" spans="2:17" ht="16.3" x14ac:dyDescent="0.3">
      <c r="B281" s="15" t="s">
        <v>92</v>
      </c>
      <c r="C281" s="15" t="s">
        <v>98</v>
      </c>
      <c r="D281" s="15"/>
      <c r="E281" s="15" t="s">
        <v>223</v>
      </c>
      <c r="F281" s="22" t="s">
        <v>133</v>
      </c>
      <c r="G281" s="26" t="s">
        <v>154</v>
      </c>
      <c r="H281" s="15"/>
      <c r="I281" s="15"/>
      <c r="J281" s="16" t="s">
        <v>212</v>
      </c>
      <c r="K281" s="16">
        <v>1</v>
      </c>
      <c r="L281" s="16" t="s">
        <v>24</v>
      </c>
      <c r="M281" s="16">
        <v>11308</v>
      </c>
      <c r="N281" s="27">
        <v>45887</v>
      </c>
      <c r="O281" s="48" cm="1">
        <f t="array" ref="O281" xml:space="preserve"> IF(AND($L281 &lt;&gt; "", $L281 &lt;&gt; "Removed"), N281 + _xlfn.IFS(_xlfn.TEXTAFTER(L281," ",1) = "Days", _xlfn.NUMBERVALUE(_xlfn.TEXTBEFORE(L281," ",1)), L281="18 Months", 547, _xlfn.TEXTAFTER(L281," ",1) = "Years", _xlfn.NUMBERVALUE(_xlfn.TEXTBEFORE(L281," ",1))*365), "")</f>
        <v>46252</v>
      </c>
      <c r="P281" s="49"/>
      <c r="Q281" s="15"/>
    </row>
    <row r="282" spans="2:17" ht="16.3" x14ac:dyDescent="0.3">
      <c r="B282" s="15"/>
      <c r="C282" s="15"/>
      <c r="D282" s="15"/>
      <c r="E282" s="15" t="s">
        <v>27</v>
      </c>
      <c r="F282" s="22"/>
      <c r="G282" s="26"/>
      <c r="H282" s="15"/>
      <c r="I282" s="15"/>
      <c r="J282" s="16"/>
      <c r="K282" s="16"/>
      <c r="L282" s="16"/>
      <c r="M282" s="16"/>
      <c r="N282" s="27"/>
      <c r="O282" s="48"/>
      <c r="P282" s="49"/>
      <c r="Q282" s="15"/>
    </row>
    <row r="283" spans="2:17" ht="16.3" x14ac:dyDescent="0.3">
      <c r="B283" s="15" t="s">
        <v>92</v>
      </c>
      <c r="C283" s="15" t="s">
        <v>98</v>
      </c>
      <c r="D283" s="15"/>
      <c r="E283" s="15" t="s">
        <v>142</v>
      </c>
      <c r="F283" s="22" t="s">
        <v>134</v>
      </c>
      <c r="G283" s="26" t="s">
        <v>153</v>
      </c>
      <c r="H283" s="15"/>
      <c r="I283" s="15"/>
      <c r="J283" s="16" t="s">
        <v>19</v>
      </c>
      <c r="K283" s="16">
        <v>1</v>
      </c>
      <c r="L283" s="16" t="s">
        <v>32</v>
      </c>
      <c r="M283" s="16">
        <v>28177</v>
      </c>
      <c r="N283" s="27">
        <v>46035</v>
      </c>
      <c r="O283" s="48" cm="1">
        <f t="array" ref="O283" xml:space="preserve"> IF(AND($L283 &lt;&gt; "", $L283 &lt;&gt; "Removed"), N283 + _xlfn.IFS(_xlfn.TEXTAFTER(L283," ",1) = "Days", _xlfn.NUMBERVALUE(_xlfn.TEXTBEFORE(L283," ",1)), L283="18 Months", 547, _xlfn.TEXTAFTER(L283," ",1) = "Years", _xlfn.NUMBERVALUE(_xlfn.TEXTBEFORE(L283," ",1))*365), "")</f>
        <v>46215</v>
      </c>
      <c r="P283" s="49">
        <v>28177</v>
      </c>
      <c r="Q283" s="15"/>
    </row>
    <row r="284" spans="2:17" ht="16.3" x14ac:dyDescent="0.3">
      <c r="B284" s="15" t="s">
        <v>92</v>
      </c>
      <c r="C284" s="15" t="s">
        <v>98</v>
      </c>
      <c r="D284" s="15"/>
      <c r="E284" s="15" t="s">
        <v>223</v>
      </c>
      <c r="F284" s="22" t="s">
        <v>134</v>
      </c>
      <c r="G284" s="26" t="s">
        <v>154</v>
      </c>
      <c r="H284" s="15"/>
      <c r="I284" s="15"/>
      <c r="J284" s="16" t="s">
        <v>212</v>
      </c>
      <c r="K284" s="16">
        <v>1</v>
      </c>
      <c r="L284" s="16" t="s">
        <v>24</v>
      </c>
      <c r="M284" s="16">
        <v>11308</v>
      </c>
      <c r="N284" s="27">
        <v>45887</v>
      </c>
      <c r="O284" s="48" cm="1">
        <f t="array" ref="O284" xml:space="preserve"> IF(AND($L284 &lt;&gt; "", $L284 &lt;&gt; "Removed"), N284 + _xlfn.IFS(_xlfn.TEXTAFTER(L284," ",1) = "Days", _xlfn.NUMBERVALUE(_xlfn.TEXTBEFORE(L284," ",1)), L284="18 Months", 547, _xlfn.TEXTAFTER(L284," ",1) = "Years", _xlfn.NUMBERVALUE(_xlfn.TEXTBEFORE(L284," ",1))*365), "")</f>
        <v>46252</v>
      </c>
      <c r="P284" s="49"/>
      <c r="Q284" s="15"/>
    </row>
    <row r="285" spans="2:17" ht="16.3" x14ac:dyDescent="0.3">
      <c r="B285" s="15"/>
      <c r="C285" s="15"/>
      <c r="D285" s="15"/>
      <c r="E285" s="15" t="s">
        <v>27</v>
      </c>
      <c r="F285" s="22"/>
      <c r="G285" s="26"/>
      <c r="H285" s="15"/>
      <c r="I285" s="15"/>
      <c r="J285" s="16"/>
      <c r="K285" s="16"/>
      <c r="L285" s="16"/>
      <c r="M285" s="16"/>
      <c r="N285" s="27"/>
      <c r="O285" s="48"/>
      <c r="P285" s="49"/>
      <c r="Q285" s="15"/>
    </row>
    <row r="286" spans="2:17" ht="16.3" x14ac:dyDescent="0.3">
      <c r="B286" s="15" t="s">
        <v>92</v>
      </c>
      <c r="C286" s="15" t="s">
        <v>98</v>
      </c>
      <c r="D286" s="15"/>
      <c r="E286" s="15" t="s">
        <v>142</v>
      </c>
      <c r="F286" s="22" t="s">
        <v>135</v>
      </c>
      <c r="G286" s="26" t="s">
        <v>153</v>
      </c>
      <c r="H286" s="15"/>
      <c r="I286" s="15"/>
      <c r="J286" s="16" t="s">
        <v>21</v>
      </c>
      <c r="K286" s="16">
        <v>1</v>
      </c>
      <c r="L286" s="16" t="s">
        <v>32</v>
      </c>
      <c r="M286" s="16">
        <v>28177</v>
      </c>
      <c r="N286" s="27">
        <v>46035</v>
      </c>
      <c r="O286" s="48" cm="1">
        <f t="array" ref="O286" xml:space="preserve"> IF(AND($L286 &lt;&gt; "", $L286 &lt;&gt; "Removed"), N286 + _xlfn.IFS(_xlfn.TEXTAFTER(L286," ",1) = "Days", _xlfn.NUMBERVALUE(_xlfn.TEXTBEFORE(L286," ",1)), L286="18 Months", 547, _xlfn.TEXTAFTER(L286," ",1) = "Years", _xlfn.NUMBERVALUE(_xlfn.TEXTBEFORE(L286," ",1))*365), "")</f>
        <v>46215</v>
      </c>
      <c r="P286" s="49">
        <v>28177</v>
      </c>
      <c r="Q286" s="15"/>
    </row>
    <row r="287" spans="2:17" ht="16.3" x14ac:dyDescent="0.3">
      <c r="B287" s="15" t="s">
        <v>92</v>
      </c>
      <c r="C287" s="15" t="s">
        <v>98</v>
      </c>
      <c r="D287" s="15"/>
      <c r="E287" s="130" t="s">
        <v>142</v>
      </c>
      <c r="F287" s="22" t="s">
        <v>135</v>
      </c>
      <c r="G287" s="26" t="s">
        <v>153</v>
      </c>
      <c r="H287" s="15"/>
      <c r="I287" s="15"/>
      <c r="J287" s="16" t="s">
        <v>18</v>
      </c>
      <c r="K287" s="16">
        <v>2</v>
      </c>
      <c r="L287" s="16" t="s">
        <v>32</v>
      </c>
      <c r="M287" s="16">
        <v>28177</v>
      </c>
      <c r="N287" s="27">
        <v>46035</v>
      </c>
      <c r="O287" s="48" cm="1">
        <f t="array" ref="O287" xml:space="preserve"> IF(AND($L287 &lt;&gt; "", $L287 &lt;&gt; "Removed"), N287 + _xlfn.IFS(_xlfn.TEXTAFTER(L287," ",1) = "Days", _xlfn.NUMBERVALUE(_xlfn.TEXTBEFORE(L287," ",1)), L287="18 Months", 547, _xlfn.TEXTAFTER(L287," ",1) = "Years", _xlfn.NUMBERVALUE(_xlfn.TEXTBEFORE(L287," ",1))*365), "")</f>
        <v>46215</v>
      </c>
      <c r="P287" s="49">
        <v>28177</v>
      </c>
      <c r="Q287" s="15"/>
    </row>
    <row r="288" spans="2:17" ht="16.3" x14ac:dyDescent="0.3">
      <c r="B288" s="15" t="s">
        <v>92</v>
      </c>
      <c r="C288" s="15" t="s">
        <v>98</v>
      </c>
      <c r="D288" s="15"/>
      <c r="E288" s="15" t="s">
        <v>223</v>
      </c>
      <c r="F288" s="22" t="s">
        <v>135</v>
      </c>
      <c r="G288" s="26" t="s">
        <v>154</v>
      </c>
      <c r="H288" s="15"/>
      <c r="I288" s="15"/>
      <c r="J288" s="16" t="s">
        <v>211</v>
      </c>
      <c r="K288" s="16">
        <v>2</v>
      </c>
      <c r="L288" s="16" t="s">
        <v>24</v>
      </c>
      <c r="M288" s="16">
        <v>11308</v>
      </c>
      <c r="N288" s="27">
        <v>45887</v>
      </c>
      <c r="O288" s="48" cm="1">
        <f t="array" ref="O288" xml:space="preserve"> IF(AND($L288 &lt;&gt; "", $L288 &lt;&gt; "Removed"), N288 + _xlfn.IFS(_xlfn.TEXTAFTER(L288," ",1) = "Days", _xlfn.NUMBERVALUE(_xlfn.TEXTBEFORE(L288," ",1)), L288="18 Months", 547, _xlfn.TEXTAFTER(L288," ",1) = "Years", _xlfn.NUMBERVALUE(_xlfn.TEXTBEFORE(L288," ",1))*365), "")</f>
        <v>46252</v>
      </c>
      <c r="P288" s="49"/>
      <c r="Q288" s="15"/>
    </row>
    <row r="289" spans="2:17" ht="16.3" x14ac:dyDescent="0.3">
      <c r="B289" s="15" t="s">
        <v>92</v>
      </c>
      <c r="C289" s="15" t="s">
        <v>98</v>
      </c>
      <c r="D289" s="15"/>
      <c r="E289" s="15" t="s">
        <v>223</v>
      </c>
      <c r="F289" s="22" t="s">
        <v>135</v>
      </c>
      <c r="G289" s="26" t="s">
        <v>154</v>
      </c>
      <c r="H289" s="15"/>
      <c r="I289" s="15"/>
      <c r="J289" s="16" t="s">
        <v>213</v>
      </c>
      <c r="K289" s="16">
        <v>1</v>
      </c>
      <c r="L289" s="16" t="s">
        <v>24</v>
      </c>
      <c r="M289" s="16">
        <v>11308</v>
      </c>
      <c r="N289" s="27">
        <v>45887</v>
      </c>
      <c r="O289" s="48" cm="1">
        <f t="array" ref="O289" xml:space="preserve"> IF(AND($L289 &lt;&gt; "", $L289 &lt;&gt; "Removed"), N289 + _xlfn.IFS(_xlfn.TEXTAFTER(L289," ",1) = "Days", _xlfn.NUMBERVALUE(_xlfn.TEXTBEFORE(L289," ",1)), L289="18 Months", 547, _xlfn.TEXTAFTER(L289," ",1) = "Years", _xlfn.NUMBERVALUE(_xlfn.TEXTBEFORE(L289," ",1))*365), "")</f>
        <v>46252</v>
      </c>
      <c r="P289" s="49"/>
      <c r="Q289" s="15"/>
    </row>
    <row r="290" spans="2:17" ht="16.3" x14ac:dyDescent="0.3">
      <c r="B290" s="15" t="s">
        <v>92</v>
      </c>
      <c r="C290" s="15" t="s">
        <v>98</v>
      </c>
      <c r="D290" s="15"/>
      <c r="E290" s="15" t="s">
        <v>142</v>
      </c>
      <c r="F290" s="22" t="s">
        <v>136</v>
      </c>
      <c r="G290" s="26" t="s">
        <v>153</v>
      </c>
      <c r="H290" s="15"/>
      <c r="I290" s="15"/>
      <c r="J290" s="16" t="s">
        <v>19</v>
      </c>
      <c r="K290" s="16">
        <v>1</v>
      </c>
      <c r="L290" s="16" t="s">
        <v>32</v>
      </c>
      <c r="M290" s="16">
        <v>28177</v>
      </c>
      <c r="N290" s="27">
        <v>46035</v>
      </c>
      <c r="O290" s="48" cm="1">
        <f t="array" ref="O290" xml:space="preserve"> IF(AND($L290 &lt;&gt; "", $L290 &lt;&gt; "Removed"), N290 + _xlfn.IFS(_xlfn.TEXTAFTER(L290," ",1) = "Days", _xlfn.NUMBERVALUE(_xlfn.TEXTBEFORE(L290," ",1)), L290="18 Months", 547, _xlfn.TEXTAFTER(L290," ",1) = "Years", _xlfn.NUMBERVALUE(_xlfn.TEXTBEFORE(L290," ",1))*365), "")</f>
        <v>46215</v>
      </c>
      <c r="P290" s="49">
        <v>28177</v>
      </c>
      <c r="Q290" s="15"/>
    </row>
    <row r="291" spans="2:17" ht="16.3" x14ac:dyDescent="0.3">
      <c r="B291" s="15" t="s">
        <v>92</v>
      </c>
      <c r="C291" s="15" t="s">
        <v>98</v>
      </c>
      <c r="D291" s="15"/>
      <c r="E291" s="15" t="s">
        <v>223</v>
      </c>
      <c r="F291" s="22"/>
      <c r="G291" s="26" t="s">
        <v>154</v>
      </c>
      <c r="H291" s="15"/>
      <c r="I291" s="15"/>
      <c r="J291" s="16" t="s">
        <v>212</v>
      </c>
      <c r="K291" s="16">
        <v>1</v>
      </c>
      <c r="L291" s="16" t="s">
        <v>24</v>
      </c>
      <c r="M291" s="16">
        <v>11308</v>
      </c>
      <c r="N291" s="27">
        <v>45887</v>
      </c>
      <c r="O291" s="48" cm="1">
        <f t="array" ref="O291" xml:space="preserve"> IF(AND($L291 &lt;&gt; "", $L291 &lt;&gt; "Removed"), N291 + _xlfn.IFS(_xlfn.TEXTAFTER(L291," ",1) = "Days", _xlfn.NUMBERVALUE(_xlfn.TEXTBEFORE(L291," ",1)), L291="18 Months", 547, _xlfn.TEXTAFTER(L291," ",1) = "Years", _xlfn.NUMBERVALUE(_xlfn.TEXTBEFORE(L291," ",1))*365), "")</f>
        <v>46252</v>
      </c>
      <c r="P291" s="49"/>
      <c r="Q291" s="15"/>
    </row>
    <row r="292" spans="2:17" ht="16.3" x14ac:dyDescent="0.3">
      <c r="B292" s="15" t="s">
        <v>92</v>
      </c>
      <c r="C292" s="15" t="s">
        <v>98</v>
      </c>
      <c r="D292" s="15"/>
      <c r="E292" s="15" t="s">
        <v>142</v>
      </c>
      <c r="F292" s="22" t="s">
        <v>137</v>
      </c>
      <c r="G292" s="26" t="s">
        <v>153</v>
      </c>
      <c r="H292" s="15"/>
      <c r="I292" s="15"/>
      <c r="J292" s="16" t="s">
        <v>19</v>
      </c>
      <c r="K292" s="16">
        <v>1</v>
      </c>
      <c r="L292" s="16" t="s">
        <v>32</v>
      </c>
      <c r="M292" s="16">
        <v>28177</v>
      </c>
      <c r="N292" s="27">
        <v>46035</v>
      </c>
      <c r="O292" s="48" cm="1">
        <f t="array" ref="O292" xml:space="preserve"> IF(AND($L292 &lt;&gt; "", $L292 &lt;&gt; "Removed"), N292 + _xlfn.IFS(_xlfn.TEXTAFTER(L292," ",1) = "Days", _xlfn.NUMBERVALUE(_xlfn.TEXTBEFORE(L292," ",1)), L292="18 Months", 547, _xlfn.TEXTAFTER(L292," ",1) = "Years", _xlfn.NUMBERVALUE(_xlfn.TEXTBEFORE(L292," ",1))*365), "")</f>
        <v>46215</v>
      </c>
      <c r="P292" s="49">
        <v>28177</v>
      </c>
      <c r="Q292" s="15"/>
    </row>
    <row r="293" spans="2:17" ht="16.3" x14ac:dyDescent="0.3">
      <c r="B293" s="15" t="s">
        <v>92</v>
      </c>
      <c r="C293" s="15" t="s">
        <v>98</v>
      </c>
      <c r="D293" s="15"/>
      <c r="E293" s="15" t="s">
        <v>223</v>
      </c>
      <c r="F293" s="22"/>
      <c r="G293" s="26" t="s">
        <v>154</v>
      </c>
      <c r="H293" s="15"/>
      <c r="I293" s="15"/>
      <c r="J293" s="16" t="s">
        <v>212</v>
      </c>
      <c r="K293" s="16">
        <v>1</v>
      </c>
      <c r="L293" s="16" t="s">
        <v>24</v>
      </c>
      <c r="M293" s="16">
        <v>11308</v>
      </c>
      <c r="N293" s="27">
        <v>45887</v>
      </c>
      <c r="O293" s="48" cm="1">
        <f t="array" ref="O293" xml:space="preserve"> IF(AND($L293 &lt;&gt; "", $L293 &lt;&gt; "Removed"), N293 + _xlfn.IFS(_xlfn.TEXTAFTER(L293," ",1) = "Days", _xlfn.NUMBERVALUE(_xlfn.TEXTBEFORE(L293," ",1)), L293="18 Months", 547, _xlfn.TEXTAFTER(L293," ",1) = "Years", _xlfn.NUMBERVALUE(_xlfn.TEXTBEFORE(L293," ",1))*365), "")</f>
        <v>46252</v>
      </c>
      <c r="P293" s="49"/>
      <c r="Q293" s="15"/>
    </row>
    <row r="294" spans="2:17" ht="16.3" x14ac:dyDescent="0.3">
      <c r="B294" s="15"/>
      <c r="C294" s="15"/>
      <c r="D294" s="15"/>
      <c r="E294" s="15" t="s">
        <v>27</v>
      </c>
      <c r="F294" s="22"/>
      <c r="G294" s="26"/>
      <c r="H294" s="15"/>
      <c r="I294" s="15"/>
      <c r="J294" s="16"/>
      <c r="K294" s="16"/>
      <c r="L294" s="16"/>
      <c r="M294" s="16"/>
      <c r="N294" s="27"/>
      <c r="O294" s="48"/>
      <c r="P294" s="49"/>
      <c r="Q294" s="15"/>
    </row>
    <row r="295" spans="2:17" ht="16.3" x14ac:dyDescent="0.3">
      <c r="B295" s="15" t="s">
        <v>92</v>
      </c>
      <c r="C295" s="15" t="s">
        <v>70</v>
      </c>
      <c r="D295" s="15"/>
      <c r="E295" s="15" t="s">
        <v>142</v>
      </c>
      <c r="F295" s="22" t="s">
        <v>138</v>
      </c>
      <c r="G295" s="26" t="s">
        <v>153</v>
      </c>
      <c r="H295" s="15"/>
      <c r="I295" s="15"/>
      <c r="J295" s="16" t="s">
        <v>21</v>
      </c>
      <c r="K295" s="16">
        <v>19</v>
      </c>
      <c r="L295" s="16" t="s">
        <v>28</v>
      </c>
      <c r="M295" s="16">
        <v>28177</v>
      </c>
      <c r="N295" s="27">
        <v>46035</v>
      </c>
      <c r="O295" s="48" cm="1">
        <f t="array" ref="O295" xml:space="preserve"> IF(AND($L295 &lt;&gt; "", $L295 &lt;&gt; "Removed"), N295 + _xlfn.IFS(_xlfn.TEXTAFTER(L295," ",1) = "Days", _xlfn.NUMBERVALUE(_xlfn.TEXTBEFORE(L295," ",1)), L295="18 Months", 547, _xlfn.TEXTAFTER(L295," ",1) = "Years", _xlfn.NUMBERVALUE(_xlfn.TEXTBEFORE(L295," ",1))*365), "")</f>
        <v>46125</v>
      </c>
      <c r="P295" s="49">
        <v>28177</v>
      </c>
      <c r="Q295" s="15"/>
    </row>
    <row r="296" spans="2:17" ht="16.3" x14ac:dyDescent="0.3">
      <c r="B296" s="15"/>
      <c r="C296" s="15"/>
      <c r="D296" s="15"/>
      <c r="E296" s="15" t="s">
        <v>27</v>
      </c>
      <c r="F296" s="22"/>
      <c r="G296" s="26"/>
      <c r="H296" s="15"/>
      <c r="I296" s="15"/>
      <c r="J296" s="16"/>
      <c r="L296" s="16" t="s">
        <v>27</v>
      </c>
      <c r="M296" s="16"/>
      <c r="N296" s="27"/>
      <c r="O296" s="48" t="str" cm="1">
        <f t="array" ref="O296" xml:space="preserve"> IF(AND($L296 &lt;&gt; "", $L296 &lt;&gt; "Removed"), N296 + _xlfn.IFS(_xlfn.TEXTAFTER(L296," ",1) = "Days", _xlfn.NUMBERVALUE(_xlfn.TEXTBEFORE(L296," ",1)), L296="18 Months", 547, _xlfn.TEXTAFTER(L296," ",1) = "Years", _xlfn.NUMBERVALUE(_xlfn.TEXTBEFORE(L296," ",1))*365), "")</f>
        <v/>
      </c>
      <c r="P296" s="49"/>
      <c r="Q296" s="15"/>
    </row>
    <row r="297" spans="2:17" ht="16.3" x14ac:dyDescent="0.3">
      <c r="B297" s="15" t="s">
        <v>92</v>
      </c>
      <c r="C297" s="15" t="s">
        <v>94</v>
      </c>
      <c r="D297" s="15"/>
      <c r="E297" s="15" t="s">
        <v>142</v>
      </c>
      <c r="F297" s="22" t="s">
        <v>139</v>
      </c>
      <c r="G297" s="26" t="s">
        <v>153</v>
      </c>
      <c r="H297" s="15"/>
      <c r="I297" s="15"/>
      <c r="J297" s="16" t="s">
        <v>21</v>
      </c>
      <c r="K297" s="16">
        <v>19</v>
      </c>
      <c r="L297" s="16" t="s">
        <v>28</v>
      </c>
      <c r="M297" s="16">
        <v>28177</v>
      </c>
      <c r="N297" s="27">
        <v>46035</v>
      </c>
      <c r="O297" s="48" cm="1">
        <f t="array" ref="O297" xml:space="preserve"> IF(AND($L297 &lt;&gt; "", $L297 &lt;&gt; "Removed"), N297 + _xlfn.IFS(_xlfn.TEXTAFTER(L297," ",1) = "Days", _xlfn.NUMBERVALUE(_xlfn.TEXTBEFORE(L297," ",1)), L297="18 Months", 547, _xlfn.TEXTAFTER(L297," ",1) = "Years", _xlfn.NUMBERVALUE(_xlfn.TEXTBEFORE(L297," ",1))*365), "")</f>
        <v>46125</v>
      </c>
      <c r="P297" s="49">
        <v>28177</v>
      </c>
      <c r="Q297" s="15"/>
    </row>
    <row r="298" spans="2:17" ht="16.3" x14ac:dyDescent="0.3">
      <c r="B298" s="15"/>
      <c r="C298" s="15"/>
      <c r="D298" s="15"/>
      <c r="E298" s="15" t="s">
        <v>27</v>
      </c>
      <c r="F298" s="22"/>
      <c r="G298" s="26"/>
      <c r="H298" s="15"/>
      <c r="I298" s="15"/>
      <c r="J298" s="16"/>
      <c r="K298" s="16"/>
      <c r="L298" s="16" t="s">
        <v>27</v>
      </c>
      <c r="M298" s="16"/>
      <c r="N298" s="27"/>
      <c r="O298" s="48" t="str" cm="1">
        <f t="array" ref="O298" xml:space="preserve"> IF(AND($L298 &lt;&gt; "", $L298 &lt;&gt; "Removed"), N298 + _xlfn.IFS(_xlfn.TEXTAFTER(L298," ",1) = "Days", _xlfn.NUMBERVALUE(_xlfn.TEXTBEFORE(L298," ",1)), L298="18 Months", 547, _xlfn.TEXTAFTER(L298," ",1) = "Years", _xlfn.NUMBERVALUE(_xlfn.TEXTBEFORE(L298," ",1))*365), "")</f>
        <v/>
      </c>
      <c r="P298" s="49"/>
      <c r="Q298" s="15"/>
    </row>
    <row r="299" spans="2:17" ht="16.3" x14ac:dyDescent="0.3">
      <c r="B299" s="15" t="s">
        <v>92</v>
      </c>
      <c r="C299" s="15" t="s">
        <v>221</v>
      </c>
      <c r="D299" s="15"/>
      <c r="E299" s="15" t="s">
        <v>142</v>
      </c>
      <c r="F299" s="22" t="s">
        <v>140</v>
      </c>
      <c r="G299" s="26" t="s">
        <v>153</v>
      </c>
      <c r="H299" s="15"/>
      <c r="I299" s="15"/>
      <c r="J299" s="16" t="s">
        <v>21</v>
      </c>
      <c r="K299" s="16">
        <v>19</v>
      </c>
      <c r="L299" s="16" t="s">
        <v>28</v>
      </c>
      <c r="M299" s="16">
        <v>28177</v>
      </c>
      <c r="N299" s="27">
        <v>46035</v>
      </c>
      <c r="O299" s="48" cm="1">
        <f t="array" ref="O299" xml:space="preserve"> IF(AND($L299 &lt;&gt; "", $L299 &lt;&gt; "Removed"), N299 + _xlfn.IFS(_xlfn.TEXTAFTER(L299," ",1) = "Days", _xlfn.NUMBERVALUE(_xlfn.TEXTBEFORE(L299," ",1)), L299="18 Months", 547, _xlfn.TEXTAFTER(L299," ",1) = "Years", _xlfn.NUMBERVALUE(_xlfn.TEXTBEFORE(L299," ",1))*365), "")</f>
        <v>46125</v>
      </c>
      <c r="P299" s="49">
        <v>28177</v>
      </c>
      <c r="Q299" s="15"/>
    </row>
    <row r="300" spans="2:17" ht="16.3" x14ac:dyDescent="0.3">
      <c r="C300" s="15"/>
      <c r="D300" s="15"/>
      <c r="E300" s="15" t="s">
        <v>27</v>
      </c>
      <c r="F300" s="22"/>
      <c r="G300" s="26"/>
      <c r="H300" s="15"/>
      <c r="I300" s="15"/>
      <c r="J300" s="16"/>
      <c r="K300" s="16"/>
      <c r="L300" s="16" t="s">
        <v>27</v>
      </c>
      <c r="M300" s="16"/>
      <c r="N300" s="27"/>
      <c r="O300" s="48" t="str" cm="1">
        <f t="array" ref="O300" xml:space="preserve"> IF(AND($L300 &lt;&gt; "", $L300 &lt;&gt; "Removed"), N300 + _xlfn.IFS(_xlfn.TEXTAFTER(L300," ",1) = "Days", _xlfn.NUMBERVALUE(_xlfn.TEXTBEFORE(L300," ",1)), L300="18 Months", 547, _xlfn.TEXTAFTER(L300," ",1) = "Years", _xlfn.NUMBERVALUE(_xlfn.TEXTBEFORE(L300," ",1))*365), "")</f>
        <v/>
      </c>
      <c r="P300" s="49"/>
      <c r="Q300" s="15"/>
    </row>
    <row r="301" spans="2:17" ht="16.3" x14ac:dyDescent="0.3">
      <c r="B301" s="15" t="s">
        <v>92</v>
      </c>
      <c r="C301" s="15" t="s">
        <v>98</v>
      </c>
      <c r="D301" s="15"/>
      <c r="E301" s="15" t="s">
        <v>142</v>
      </c>
      <c r="F301" s="22" t="s">
        <v>141</v>
      </c>
      <c r="G301" s="26" t="s">
        <v>153</v>
      </c>
      <c r="H301" s="15"/>
      <c r="I301" s="15"/>
      <c r="J301" s="16" t="s">
        <v>21</v>
      </c>
      <c r="K301" s="16">
        <v>19</v>
      </c>
      <c r="L301" s="16" t="s">
        <v>28</v>
      </c>
      <c r="M301" s="16">
        <v>28177</v>
      </c>
      <c r="N301" s="27">
        <v>46035</v>
      </c>
      <c r="O301" s="48" cm="1">
        <f t="array" ref="O301" xml:space="preserve"> IF(AND($L301 &lt;&gt; "", $L301 &lt;&gt; "Removed"), N301 + _xlfn.IFS(_xlfn.TEXTAFTER(L301," ",1) = "Days", _xlfn.NUMBERVALUE(_xlfn.TEXTBEFORE(L301," ",1)), L301="18 Months", 547, _xlfn.TEXTAFTER(L301," ",1) = "Years", _xlfn.NUMBERVALUE(_xlfn.TEXTBEFORE(L301," ",1))*365), "")</f>
        <v>46125</v>
      </c>
      <c r="P301" s="49">
        <v>28177</v>
      </c>
      <c r="Q301" s="15"/>
    </row>
    <row r="302" spans="2:17" ht="16.3" x14ac:dyDescent="0.3">
      <c r="B302" s="15"/>
      <c r="C302" s="15"/>
      <c r="D302" s="15"/>
      <c r="E302" s="15"/>
      <c r="F302" s="22"/>
      <c r="G302" s="26"/>
      <c r="H302" s="15"/>
      <c r="I302" s="15"/>
      <c r="J302" s="16"/>
      <c r="K302" s="16"/>
      <c r="L302" s="16"/>
      <c r="M302" s="16"/>
      <c r="N302" s="27"/>
      <c r="O302" s="48" t="str" cm="1">
        <f t="array" ref="O302" xml:space="preserve"> IF(AND($L302 &lt;&gt; "", $L302 &lt;&gt; "Removed"), N302 + _xlfn.IFS(_xlfn.TEXTAFTER(L302," ",1) = "Days", _xlfn.NUMBERVALUE(_xlfn.TEXTBEFORE(L302," ",1)), L302="18 Months", 547, _xlfn.TEXTAFTER(L302," ",1) = "Years", _xlfn.NUMBERVALUE(_xlfn.TEXTBEFORE(L302," ",1))*365), "")</f>
        <v/>
      </c>
      <c r="P302" s="49"/>
      <c r="Q302" s="15"/>
    </row>
    <row r="303" spans="2:17" ht="16.3" x14ac:dyDescent="0.3">
      <c r="B303" s="15"/>
      <c r="D303" s="15"/>
      <c r="E303" s="15"/>
      <c r="F303" s="22"/>
      <c r="G303" s="26"/>
      <c r="H303" s="15"/>
      <c r="I303" s="15"/>
      <c r="J303" s="16"/>
      <c r="L303" s="16"/>
      <c r="M303" s="16"/>
      <c r="N303" s="27"/>
      <c r="O303" s="48" t="str" cm="1">
        <f t="array" ref="O303" xml:space="preserve"> IF(AND($L303 &lt;&gt; "", $L303 &lt;&gt; "Removed"), N303 + _xlfn.IFS(_xlfn.TEXTAFTER(L303," ",1) = "Days", _xlfn.NUMBERVALUE(_xlfn.TEXTBEFORE(L303," ",1)), L303="18 Months", 547, _xlfn.TEXTAFTER(L303," ",1) = "Years", _xlfn.NUMBERVALUE(_xlfn.TEXTBEFORE(L303," ",1))*365), "")</f>
        <v/>
      </c>
      <c r="P303" s="49"/>
      <c r="Q303" s="15"/>
    </row>
    <row r="304" spans="2:17" ht="16.3" x14ac:dyDescent="0.3">
      <c r="B304" s="15"/>
      <c r="C304" s="15"/>
      <c r="D304" s="15"/>
      <c r="E304" s="15"/>
      <c r="F304" s="22"/>
      <c r="G304" s="26"/>
      <c r="H304" s="15"/>
      <c r="I304" s="15"/>
      <c r="J304" s="16"/>
      <c r="K304" s="16"/>
      <c r="L304" s="16"/>
      <c r="M304" s="16"/>
      <c r="N304" s="27"/>
      <c r="O304" s="48" t="str" cm="1">
        <f t="array" ref="O304" xml:space="preserve"> IF(AND($L304 &lt;&gt; "", $L304 &lt;&gt; "Removed"), N304 + _xlfn.IFS(_xlfn.TEXTAFTER(L304," ",1) = "Days", _xlfn.NUMBERVALUE(_xlfn.TEXTBEFORE(L304," ",1)), L304="18 Months", 547, _xlfn.TEXTAFTER(L304," ",1) = "Years", _xlfn.NUMBERVALUE(_xlfn.TEXTBEFORE(L304," ",1))*365), "")</f>
        <v/>
      </c>
      <c r="P304" s="49"/>
      <c r="Q304" s="15"/>
    </row>
    <row r="305" spans="2:17" ht="16.3" x14ac:dyDescent="0.3">
      <c r="B305" s="15"/>
      <c r="C305" s="15"/>
      <c r="D305" s="15"/>
      <c r="E305" s="15"/>
      <c r="F305" s="22"/>
      <c r="G305" s="26"/>
      <c r="H305" s="15"/>
      <c r="I305" s="15"/>
      <c r="J305" s="16"/>
      <c r="K305" s="16"/>
      <c r="L305" s="16"/>
      <c r="M305" s="16"/>
      <c r="N305" s="27"/>
      <c r="O305" s="48" t="str" cm="1">
        <f t="array" ref="O305" xml:space="preserve"> IF(AND($L305 &lt;&gt; "", $L305 &lt;&gt; "Removed"), N305 + _xlfn.IFS(_xlfn.TEXTAFTER(L305," ",1) = "Days", _xlfn.NUMBERVALUE(_xlfn.TEXTBEFORE(L305," ",1)), L305="18 Months", 547, _xlfn.TEXTAFTER(L305," ",1) = "Years", _xlfn.NUMBERVALUE(_xlfn.TEXTBEFORE(L305," ",1))*365), "")</f>
        <v/>
      </c>
      <c r="P305" s="49"/>
      <c r="Q305" s="15"/>
    </row>
    <row r="306" spans="2:17" ht="16.3" x14ac:dyDescent="0.3">
      <c r="B306" s="15"/>
      <c r="C306" s="15"/>
      <c r="D306" s="15"/>
      <c r="E306" s="15"/>
      <c r="F306" s="22"/>
      <c r="G306" s="26"/>
      <c r="H306" s="15"/>
      <c r="I306" s="15"/>
      <c r="J306" s="16"/>
      <c r="K306" s="16"/>
      <c r="L306" s="16"/>
      <c r="M306" s="16"/>
      <c r="N306" s="27"/>
      <c r="O306" s="48" t="str" cm="1">
        <f t="array" ref="O306" xml:space="preserve"> IF(AND($L306 &lt;&gt; "", $L306 &lt;&gt; "Removed"), N306 + _xlfn.IFS(_xlfn.TEXTAFTER(L306," ",1) = "Days", _xlfn.NUMBERVALUE(_xlfn.TEXTBEFORE(L306," ",1)), L306="18 Months", 547, _xlfn.TEXTAFTER(L306," ",1) = "Years", _xlfn.NUMBERVALUE(_xlfn.TEXTBEFORE(L306," ",1))*365), "")</f>
        <v/>
      </c>
      <c r="P306" s="49"/>
      <c r="Q306" s="15"/>
    </row>
    <row r="307" spans="2:17" ht="16.3" x14ac:dyDescent="0.3">
      <c r="B307" s="15"/>
      <c r="C307" s="15"/>
      <c r="D307" s="15"/>
      <c r="E307" s="15"/>
      <c r="F307" s="22"/>
      <c r="G307" s="26"/>
      <c r="H307" s="15"/>
      <c r="I307" s="15"/>
      <c r="J307" s="16"/>
      <c r="K307" s="16"/>
      <c r="L307" s="16"/>
      <c r="M307" s="16"/>
      <c r="N307" s="27"/>
      <c r="O307" s="48" t="str" cm="1">
        <f t="array" ref="O307" xml:space="preserve"> IF(AND($L307 &lt;&gt; "", $L307 &lt;&gt; "Removed"), N307 + _xlfn.IFS(_xlfn.TEXTAFTER(L307," ",1) = "Days", _xlfn.NUMBERVALUE(_xlfn.TEXTBEFORE(L307," ",1)), L307="18 Months", 547, _xlfn.TEXTAFTER(L307," ",1) = "Years", _xlfn.NUMBERVALUE(_xlfn.TEXTBEFORE(L307," ",1))*365), "")</f>
        <v/>
      </c>
      <c r="P307" s="49"/>
      <c r="Q307" s="15"/>
    </row>
    <row r="308" spans="2:17" ht="16.3" x14ac:dyDescent="0.3">
      <c r="B308" s="15"/>
      <c r="C308" s="15"/>
      <c r="D308" s="15"/>
      <c r="E308" s="15"/>
      <c r="F308" s="22"/>
      <c r="G308" s="26"/>
      <c r="H308" s="15"/>
      <c r="I308" s="15"/>
      <c r="J308" s="16"/>
      <c r="K308" s="16"/>
      <c r="L308" s="16"/>
      <c r="M308" s="16"/>
      <c r="N308" s="27"/>
      <c r="O308" s="48" t="str" cm="1">
        <f t="array" ref="O308" xml:space="preserve"> IF(AND($L308 &lt;&gt; "", $L308 &lt;&gt; "Removed"), N308 + _xlfn.IFS(_xlfn.TEXTAFTER(L308," ",1) = "Days", _xlfn.NUMBERVALUE(_xlfn.TEXTBEFORE(L308," ",1)), L308="18 Months", 547, _xlfn.TEXTAFTER(L308," ",1) = "Years", _xlfn.NUMBERVALUE(_xlfn.TEXTBEFORE(L308," ",1))*365), "")</f>
        <v/>
      </c>
      <c r="P308" s="49"/>
      <c r="Q308" s="15"/>
    </row>
    <row r="309" spans="2:17" ht="16.3" x14ac:dyDescent="0.3">
      <c r="B309" s="15"/>
      <c r="C309" s="15"/>
      <c r="D309" s="15"/>
      <c r="E309" s="15"/>
      <c r="F309" s="22"/>
      <c r="G309" s="26"/>
      <c r="H309" s="15"/>
      <c r="I309" s="15"/>
      <c r="J309" s="16"/>
      <c r="K309" s="16"/>
      <c r="L309" s="16"/>
      <c r="M309" s="16"/>
      <c r="N309" s="27"/>
      <c r="O309" s="48" t="str" cm="1">
        <f t="array" ref="O309" xml:space="preserve"> IF(AND($L309 &lt;&gt; "", $L309 &lt;&gt; "Removed"), N309 + _xlfn.IFS(_xlfn.TEXTAFTER(L309," ",1) = "Days", _xlfn.NUMBERVALUE(_xlfn.TEXTBEFORE(L309," ",1)), L309="18 Months", 547, _xlfn.TEXTAFTER(L309," ",1) = "Years", _xlfn.NUMBERVALUE(_xlfn.TEXTBEFORE(L309," ",1))*365), "")</f>
        <v/>
      </c>
      <c r="P309" s="49"/>
      <c r="Q309" s="15"/>
    </row>
    <row r="310" spans="2:17" ht="16.3" x14ac:dyDescent="0.3">
      <c r="B310" s="15"/>
      <c r="C310" s="15"/>
      <c r="D310" s="15"/>
      <c r="E310" s="15"/>
      <c r="F310" s="22"/>
      <c r="G310" s="26"/>
      <c r="H310" s="15"/>
      <c r="I310" s="15"/>
      <c r="J310" s="16"/>
      <c r="K310" s="16"/>
      <c r="L310" s="16"/>
      <c r="M310" s="16"/>
      <c r="N310" s="27"/>
      <c r="O310" s="48" t="str" cm="1">
        <f t="array" ref="O310" xml:space="preserve"> IF(AND($L310 &lt;&gt; "", $L310 &lt;&gt; "Removed"), N310 + _xlfn.IFS(_xlfn.TEXTAFTER(L310," ",1) = "Days", _xlfn.NUMBERVALUE(_xlfn.TEXTBEFORE(L310," ",1)), L310="18 Months", 547, _xlfn.TEXTAFTER(L310," ",1) = "Years", _xlfn.NUMBERVALUE(_xlfn.TEXTBEFORE(L310," ",1))*365), "")</f>
        <v/>
      </c>
      <c r="P310" s="49"/>
      <c r="Q310" s="15"/>
    </row>
    <row r="311" spans="2:17" ht="16.3" x14ac:dyDescent="0.3">
      <c r="B311" s="15"/>
      <c r="C311" s="15"/>
      <c r="D311" s="15"/>
      <c r="E311" s="15"/>
      <c r="F311" s="22"/>
      <c r="G311" s="26"/>
      <c r="H311" s="15"/>
      <c r="I311" s="15"/>
      <c r="J311" s="16"/>
      <c r="K311" s="16"/>
      <c r="L311" s="16"/>
      <c r="M311" s="16"/>
      <c r="N311" s="27"/>
      <c r="O311" s="48" t="str" cm="1">
        <f t="array" ref="O311" xml:space="preserve"> IF(AND($L311 &lt;&gt; "", $L311 &lt;&gt; "Removed"), N311 + _xlfn.IFS(_xlfn.TEXTAFTER(L311," ",1) = "Days", _xlfn.NUMBERVALUE(_xlfn.TEXTBEFORE(L311," ",1)), L311="18 Months", 547, _xlfn.TEXTAFTER(L311," ",1) = "Years", _xlfn.NUMBERVALUE(_xlfn.TEXTBEFORE(L311," ",1))*365), "")</f>
        <v/>
      </c>
      <c r="P311" s="49"/>
      <c r="Q311" s="15"/>
    </row>
    <row r="312" spans="2:17" ht="16.3" x14ac:dyDescent="0.3">
      <c r="B312" s="15"/>
      <c r="C312" s="15"/>
      <c r="D312" s="15"/>
      <c r="E312" s="15"/>
      <c r="F312" s="22"/>
      <c r="G312" s="26"/>
      <c r="H312" s="15"/>
      <c r="I312" s="15"/>
      <c r="J312" s="16"/>
      <c r="K312" s="16"/>
      <c r="L312" s="16"/>
      <c r="M312" s="16"/>
      <c r="N312" s="27"/>
      <c r="O312" s="48" t="str" cm="1">
        <f t="array" ref="O312" xml:space="preserve"> IF(AND($L312 &lt;&gt; "", $L312 &lt;&gt; "Removed"), N312 + _xlfn.IFS(_xlfn.TEXTAFTER(L312," ",1) = "Days", _xlfn.NUMBERVALUE(_xlfn.TEXTBEFORE(L312," ",1)), L312="18 Months", 547, _xlfn.TEXTAFTER(L312," ",1) = "Years", _xlfn.NUMBERVALUE(_xlfn.TEXTBEFORE(L312," ",1))*365), "")</f>
        <v/>
      </c>
      <c r="P312" s="49"/>
      <c r="Q312" s="15"/>
    </row>
    <row r="313" spans="2:17" ht="16.3" x14ac:dyDescent="0.3">
      <c r="B313" s="15"/>
      <c r="C313" s="15"/>
      <c r="D313" s="15"/>
      <c r="E313" s="15"/>
      <c r="F313" s="22"/>
      <c r="G313" s="26"/>
      <c r="H313" s="15"/>
      <c r="I313" s="15"/>
      <c r="J313" s="16"/>
      <c r="K313" s="16"/>
      <c r="L313" s="16"/>
      <c r="M313" s="16"/>
      <c r="N313" s="27"/>
      <c r="O313" s="48" t="str" cm="1">
        <f t="array" ref="O313" xml:space="preserve"> IF(AND($L313 &lt;&gt; "", $L313 &lt;&gt; "Removed"), N313 + _xlfn.IFS(_xlfn.TEXTAFTER(L313," ",1) = "Days", _xlfn.NUMBERVALUE(_xlfn.TEXTBEFORE(L313," ",1)), L313="18 Months", 547, _xlfn.TEXTAFTER(L313," ",1) = "Years", _xlfn.NUMBERVALUE(_xlfn.TEXTBEFORE(L313," ",1))*365), "")</f>
        <v/>
      </c>
      <c r="P313" s="49"/>
      <c r="Q313" s="15"/>
    </row>
    <row r="314" spans="2:17" ht="16.3" x14ac:dyDescent="0.3">
      <c r="B314" s="15"/>
      <c r="C314" s="15"/>
      <c r="D314" s="15"/>
      <c r="E314" s="15"/>
      <c r="F314" s="22"/>
      <c r="G314" s="26"/>
      <c r="H314" s="15"/>
      <c r="I314" s="15"/>
      <c r="J314" s="16"/>
      <c r="K314" s="16"/>
      <c r="L314" s="16"/>
      <c r="M314" s="16"/>
      <c r="N314" s="27"/>
      <c r="O314" s="48" t="str" cm="1">
        <f t="array" ref="O314" xml:space="preserve"> IF(AND($L314 &lt;&gt; "", $L314 &lt;&gt; "Removed"), N314 + _xlfn.IFS(_xlfn.TEXTAFTER(L314," ",1) = "Days", _xlfn.NUMBERVALUE(_xlfn.TEXTBEFORE(L314," ",1)), L314="18 Months", 547, _xlfn.TEXTAFTER(L314," ",1) = "Years", _xlfn.NUMBERVALUE(_xlfn.TEXTBEFORE(L314," ",1))*365), "")</f>
        <v/>
      </c>
      <c r="P314" s="49"/>
      <c r="Q314" s="15"/>
    </row>
    <row r="315" spans="2:17" ht="16.3" x14ac:dyDescent="0.3">
      <c r="B315" s="15"/>
      <c r="C315" s="15"/>
      <c r="D315" s="15"/>
      <c r="E315" s="15"/>
      <c r="F315" s="22"/>
      <c r="G315" s="26"/>
      <c r="H315" s="15"/>
      <c r="I315" s="15"/>
      <c r="J315" s="16"/>
      <c r="K315" s="16"/>
      <c r="L315" s="16"/>
      <c r="M315" s="16"/>
      <c r="N315" s="27"/>
      <c r="O315" s="48" t="str" cm="1">
        <f t="array" ref="O315" xml:space="preserve"> IF(AND($L315 &lt;&gt; "", $L315 &lt;&gt; "Removed"), N315 + _xlfn.IFS(_xlfn.TEXTAFTER(L315," ",1) = "Days", _xlfn.NUMBERVALUE(_xlfn.TEXTBEFORE(L315," ",1)), L315="18 Months", 547, _xlfn.TEXTAFTER(L315," ",1) = "Years", _xlfn.NUMBERVALUE(_xlfn.TEXTBEFORE(L315," ",1))*365), "")</f>
        <v/>
      </c>
      <c r="P315" s="49"/>
      <c r="Q315" s="15"/>
    </row>
    <row r="316" spans="2:17" ht="16.3" x14ac:dyDescent="0.3">
      <c r="B316" s="15"/>
      <c r="C316" s="15"/>
      <c r="D316" s="15"/>
      <c r="E316" s="15"/>
      <c r="F316" s="22"/>
      <c r="G316" s="26"/>
      <c r="H316" s="15"/>
      <c r="I316" s="15"/>
      <c r="J316" s="16"/>
      <c r="K316" s="16"/>
      <c r="L316" s="16"/>
      <c r="M316" s="16"/>
      <c r="N316" s="27"/>
      <c r="O316" s="48" t="str" cm="1">
        <f t="array" ref="O316" xml:space="preserve"> IF(AND($L316 &lt;&gt; "", $L316 &lt;&gt; "Removed"), N316 + _xlfn.IFS(_xlfn.TEXTAFTER(L316," ",1) = "Days", _xlfn.NUMBERVALUE(_xlfn.TEXTBEFORE(L316," ",1)), L316="18 Months", 547, _xlfn.TEXTAFTER(L316," ",1) = "Years", _xlfn.NUMBERVALUE(_xlfn.TEXTBEFORE(L316," ",1))*365), "")</f>
        <v/>
      </c>
      <c r="P316" s="49"/>
      <c r="Q316" s="15"/>
    </row>
    <row r="317" spans="2:17" ht="16.3" x14ac:dyDescent="0.3">
      <c r="B317" s="15"/>
      <c r="C317" s="15"/>
      <c r="D317" s="15"/>
      <c r="E317" s="15"/>
      <c r="F317" s="22"/>
      <c r="G317" s="26"/>
      <c r="H317" s="15"/>
      <c r="I317" s="15"/>
      <c r="J317" s="16"/>
      <c r="K317" s="16"/>
      <c r="L317" s="16"/>
      <c r="M317" s="16"/>
      <c r="N317" s="27"/>
      <c r="O317" s="48" t="str" cm="1">
        <f t="array" ref="O317" xml:space="preserve"> IF(AND($L317 &lt;&gt; "", $L317 &lt;&gt; "Removed"), N317 + _xlfn.IFS(_xlfn.TEXTAFTER(L317," ",1) = "Days", _xlfn.NUMBERVALUE(_xlfn.TEXTBEFORE(L317," ",1)), L317="18 Months", 547, _xlfn.TEXTAFTER(L317," ",1) = "Years", _xlfn.NUMBERVALUE(_xlfn.TEXTBEFORE(L317," ",1))*365), "")</f>
        <v/>
      </c>
      <c r="P317" s="49"/>
      <c r="Q317" s="15"/>
    </row>
    <row r="318" spans="2:17" ht="16.3" x14ac:dyDescent="0.3">
      <c r="B318" s="15"/>
      <c r="C318" s="15"/>
      <c r="D318" s="15"/>
      <c r="E318" s="15"/>
      <c r="F318" s="22"/>
      <c r="G318" s="26"/>
      <c r="H318" s="15"/>
      <c r="I318" s="15"/>
      <c r="J318" s="16"/>
      <c r="K318" s="16"/>
      <c r="L318" s="16"/>
      <c r="M318" s="16"/>
      <c r="N318" s="27"/>
      <c r="O318" s="48" t="str" cm="1">
        <f t="array" ref="O318" xml:space="preserve"> IF(AND($L318 &lt;&gt; "", $L318 &lt;&gt; "Removed"), N318 + _xlfn.IFS(_xlfn.TEXTAFTER(L318," ",1) = "Days", _xlfn.NUMBERVALUE(_xlfn.TEXTBEFORE(L318," ",1)), L318="18 Months", 547, _xlfn.TEXTAFTER(L318," ",1) = "Years", _xlfn.NUMBERVALUE(_xlfn.TEXTBEFORE(L318," ",1))*365), "")</f>
        <v/>
      </c>
      <c r="P318" s="49"/>
      <c r="Q318" s="15"/>
    </row>
    <row r="319" spans="2:17" ht="16.3" x14ac:dyDescent="0.3">
      <c r="B319" s="15"/>
      <c r="C319" s="15"/>
      <c r="D319" s="15"/>
      <c r="E319" s="15"/>
      <c r="F319" s="22"/>
      <c r="G319" s="26"/>
      <c r="H319" s="15"/>
      <c r="I319" s="15"/>
      <c r="J319" s="16"/>
      <c r="K319" s="16"/>
      <c r="L319" s="16"/>
      <c r="M319" s="16"/>
      <c r="N319" s="27"/>
      <c r="O319" s="48" t="str" cm="1">
        <f t="array" ref="O319" xml:space="preserve"> IF(AND($L319 &lt;&gt; "", $L319 &lt;&gt; "Removed"), N319 + _xlfn.IFS(_xlfn.TEXTAFTER(L319," ",1) = "Days", _xlfn.NUMBERVALUE(_xlfn.TEXTBEFORE(L319," ",1)), L319="18 Months", 547, _xlfn.TEXTAFTER(L319," ",1) = "Years", _xlfn.NUMBERVALUE(_xlfn.TEXTBEFORE(L319," ",1))*365), "")</f>
        <v/>
      </c>
      <c r="P319" s="49"/>
      <c r="Q319" s="15"/>
    </row>
    <row r="320" spans="2:17" ht="16.3" x14ac:dyDescent="0.3">
      <c r="B320" s="15"/>
      <c r="C320" s="15"/>
      <c r="D320" s="15"/>
      <c r="E320" s="15"/>
      <c r="F320" s="22"/>
      <c r="G320" s="26"/>
      <c r="H320" s="15"/>
      <c r="I320" s="15"/>
      <c r="J320" s="16"/>
      <c r="K320" s="16"/>
      <c r="L320" s="16"/>
      <c r="M320" s="16"/>
      <c r="N320" s="27"/>
      <c r="O320" s="48" t="str" cm="1">
        <f t="array" ref="O320" xml:space="preserve"> IF(AND($L320 &lt;&gt; "", $L320 &lt;&gt; "Removed"), N320 + _xlfn.IFS(_xlfn.TEXTAFTER(L320," ",1) = "Days", _xlfn.NUMBERVALUE(_xlfn.TEXTBEFORE(L320," ",1)), L320="18 Months", 547, _xlfn.TEXTAFTER(L320," ",1) = "Years", _xlfn.NUMBERVALUE(_xlfn.TEXTBEFORE(L320," ",1))*365), "")</f>
        <v/>
      </c>
      <c r="P320" s="49"/>
      <c r="Q320" s="15"/>
    </row>
    <row r="321" spans="2:17" ht="16.3" x14ac:dyDescent="0.3">
      <c r="B321" s="15"/>
      <c r="C321" s="15"/>
      <c r="D321" s="15"/>
      <c r="E321" s="15"/>
      <c r="F321" s="22"/>
      <c r="G321" s="26"/>
      <c r="H321" s="15"/>
      <c r="I321" s="15"/>
      <c r="J321" s="16"/>
      <c r="K321" s="16"/>
      <c r="L321" s="16"/>
      <c r="M321" s="16"/>
      <c r="N321" s="27"/>
      <c r="O321" s="48" t="str" cm="1">
        <f t="array" ref="O321" xml:space="preserve"> IF(AND($L321 &lt;&gt; "", $L321 &lt;&gt; "Removed"), N321 + _xlfn.IFS(_xlfn.TEXTAFTER(L321," ",1) = "Days", _xlfn.NUMBERVALUE(_xlfn.TEXTBEFORE(L321," ",1)), L321="18 Months", 547, _xlfn.TEXTAFTER(L321," ",1) = "Years", _xlfn.NUMBERVALUE(_xlfn.TEXTBEFORE(L321," ",1))*365), "")</f>
        <v/>
      </c>
      <c r="P321" s="49"/>
      <c r="Q321" s="15"/>
    </row>
    <row r="322" spans="2:17" ht="16.3" x14ac:dyDescent="0.3">
      <c r="B322" s="15"/>
      <c r="C322" s="15"/>
      <c r="D322" s="15"/>
      <c r="E322" s="15"/>
      <c r="F322" s="22"/>
      <c r="G322" s="26"/>
      <c r="H322" s="15"/>
      <c r="I322" s="15"/>
      <c r="J322" s="16"/>
      <c r="K322" s="16"/>
      <c r="L322" s="16"/>
      <c r="M322" s="16"/>
      <c r="N322" s="27"/>
      <c r="O322" s="48" t="str" cm="1">
        <f t="array" ref="O322" xml:space="preserve"> IF(AND($L322 &lt;&gt; "", $L322 &lt;&gt; "Removed"), N322 + _xlfn.IFS(_xlfn.TEXTAFTER(L322," ",1) = "Days", _xlfn.NUMBERVALUE(_xlfn.TEXTBEFORE(L322," ",1)), L322="18 Months", 547, _xlfn.TEXTAFTER(L322," ",1) = "Years", _xlfn.NUMBERVALUE(_xlfn.TEXTBEFORE(L322," ",1))*365), "")</f>
        <v/>
      </c>
      <c r="P322" s="49"/>
      <c r="Q322" s="15"/>
    </row>
    <row r="323" spans="2:17" ht="16.3" x14ac:dyDescent="0.3">
      <c r="B323" s="15"/>
      <c r="C323" s="15"/>
      <c r="D323" s="15"/>
      <c r="E323" s="15"/>
      <c r="F323" s="22"/>
      <c r="G323" s="26"/>
      <c r="H323" s="15"/>
      <c r="I323" s="15"/>
      <c r="J323" s="16"/>
      <c r="K323" s="16"/>
      <c r="L323" s="16"/>
      <c r="M323" s="16"/>
      <c r="N323" s="27"/>
      <c r="O323" s="48" t="str" cm="1">
        <f t="array" ref="O323" xml:space="preserve"> IF(AND($L323 &lt;&gt; "", $L323 &lt;&gt; "Removed"), N323 + _xlfn.IFS(_xlfn.TEXTAFTER(L323," ",1) = "Days", _xlfn.NUMBERVALUE(_xlfn.TEXTBEFORE(L323," ",1)), L323="18 Months", 547, _xlfn.TEXTAFTER(L323," ",1) = "Years", _xlfn.NUMBERVALUE(_xlfn.TEXTBEFORE(L323," ",1))*365), "")</f>
        <v/>
      </c>
      <c r="P323" s="49"/>
      <c r="Q323" s="15"/>
    </row>
    <row r="324" spans="2:17" ht="16.3" x14ac:dyDescent="0.3">
      <c r="B324" s="15"/>
      <c r="C324" s="15"/>
      <c r="D324" s="15"/>
      <c r="E324" s="15"/>
      <c r="F324" s="22"/>
      <c r="G324" s="26"/>
      <c r="H324" s="15"/>
      <c r="I324" s="15"/>
      <c r="J324" s="16"/>
      <c r="K324" s="16"/>
      <c r="L324" s="16"/>
      <c r="M324" s="16"/>
      <c r="N324" s="27"/>
      <c r="O324" s="48" t="str" cm="1">
        <f t="array" ref="O324" xml:space="preserve"> IF(AND($L324 &lt;&gt; "", $L324 &lt;&gt; "Removed"), N324 + _xlfn.IFS(_xlfn.TEXTAFTER(L324," ",1) = "Days", _xlfn.NUMBERVALUE(_xlfn.TEXTBEFORE(L324," ",1)), L324="18 Months", 547, _xlfn.TEXTAFTER(L324," ",1) = "Years", _xlfn.NUMBERVALUE(_xlfn.TEXTBEFORE(L324," ",1))*365), "")</f>
        <v/>
      </c>
      <c r="P324" s="49"/>
      <c r="Q324" s="15"/>
    </row>
    <row r="325" spans="2:17" ht="16.3" x14ac:dyDescent="0.3">
      <c r="B325" s="15"/>
      <c r="C325" s="15"/>
      <c r="D325" s="15"/>
      <c r="E325" s="15"/>
      <c r="F325" s="22"/>
      <c r="G325" s="26"/>
      <c r="H325" s="15"/>
      <c r="I325" s="15"/>
      <c r="J325" s="16"/>
      <c r="K325" s="16"/>
      <c r="L325" s="16"/>
      <c r="M325" s="16"/>
      <c r="N325" s="27"/>
      <c r="O325" s="48" t="str" cm="1">
        <f t="array" ref="O325" xml:space="preserve"> IF(AND($L325 &lt;&gt; "", $L325 &lt;&gt; "Removed"), N325 + _xlfn.IFS(_xlfn.TEXTAFTER(L325," ",1) = "Days", _xlfn.NUMBERVALUE(_xlfn.TEXTBEFORE(L325," ",1)), L325="18 Months", 547, _xlfn.TEXTAFTER(L325," ",1) = "Years", _xlfn.NUMBERVALUE(_xlfn.TEXTBEFORE(L325," ",1))*365), "")</f>
        <v/>
      </c>
      <c r="P325" s="49"/>
      <c r="Q325" s="15"/>
    </row>
    <row r="326" spans="2:17" ht="16.3" x14ac:dyDescent="0.3">
      <c r="B326" s="15"/>
      <c r="C326" s="15"/>
      <c r="D326" s="15"/>
      <c r="E326" s="15"/>
      <c r="F326" s="22"/>
      <c r="G326" s="26"/>
      <c r="H326" s="15"/>
      <c r="I326" s="15"/>
      <c r="J326" s="16"/>
      <c r="K326" s="16"/>
      <c r="L326" s="16"/>
      <c r="M326" s="16"/>
      <c r="N326" s="27"/>
      <c r="O326" s="48" t="str" cm="1">
        <f t="array" ref="O326" xml:space="preserve"> IF(AND($L326 &lt;&gt; "", $L326 &lt;&gt; "Removed"), N326 + _xlfn.IFS(_xlfn.TEXTAFTER(L326," ",1) = "Days", _xlfn.NUMBERVALUE(_xlfn.TEXTBEFORE(L326," ",1)), L326="18 Months", 547, _xlfn.TEXTAFTER(L326," ",1) = "Years", _xlfn.NUMBERVALUE(_xlfn.TEXTBEFORE(L326," ",1))*365), "")</f>
        <v/>
      </c>
      <c r="P326" s="49"/>
      <c r="Q326" s="15"/>
    </row>
    <row r="327" spans="2:17" ht="16.3" x14ac:dyDescent="0.3">
      <c r="B327" s="15"/>
      <c r="C327" s="15"/>
      <c r="D327" s="15"/>
      <c r="E327" s="15"/>
      <c r="F327" s="22"/>
      <c r="G327" s="26"/>
      <c r="H327" s="15"/>
      <c r="I327" s="15"/>
      <c r="J327" s="16"/>
      <c r="K327" s="16"/>
      <c r="L327" s="16"/>
      <c r="M327" s="16"/>
      <c r="N327" s="27"/>
      <c r="O327" s="48" t="str" cm="1">
        <f t="array" ref="O327" xml:space="preserve"> IF(AND($L327 &lt;&gt; "", $L327 &lt;&gt; "Removed"), N327 + _xlfn.IFS(_xlfn.TEXTAFTER(L327," ",1) = "Days", _xlfn.NUMBERVALUE(_xlfn.TEXTBEFORE(L327," ",1)), L327="18 Months", 547, _xlfn.TEXTAFTER(L327," ",1) = "Years", _xlfn.NUMBERVALUE(_xlfn.TEXTBEFORE(L327," ",1))*365), "")</f>
        <v/>
      </c>
      <c r="P327" s="49"/>
      <c r="Q327" s="15"/>
    </row>
    <row r="328" spans="2:17" ht="16.3" x14ac:dyDescent="0.3">
      <c r="B328" s="15"/>
      <c r="C328" s="15"/>
      <c r="D328" s="15"/>
      <c r="E328" s="15"/>
      <c r="F328" s="22"/>
      <c r="G328" s="26"/>
      <c r="H328" s="15"/>
      <c r="I328" s="15"/>
      <c r="J328" s="16"/>
      <c r="K328" s="16"/>
      <c r="L328" s="16"/>
      <c r="M328" s="16"/>
      <c r="N328" s="27"/>
      <c r="O328" s="48" t="str" cm="1">
        <f t="array" ref="O328" xml:space="preserve"> IF(AND($L328 &lt;&gt; "", $L328 &lt;&gt; "Removed"), N328 + _xlfn.IFS(_xlfn.TEXTAFTER(L328," ",1) = "Days", _xlfn.NUMBERVALUE(_xlfn.TEXTBEFORE(L328," ",1)), L328="18 Months", 547, _xlfn.TEXTAFTER(L328," ",1) = "Years", _xlfn.NUMBERVALUE(_xlfn.TEXTBEFORE(L328," ",1))*365), "")</f>
        <v/>
      </c>
      <c r="P328" s="49"/>
      <c r="Q328" s="15"/>
    </row>
    <row r="329" spans="2:17" ht="16.3" x14ac:dyDescent="0.3">
      <c r="B329" s="15"/>
      <c r="C329" s="15"/>
      <c r="D329" s="15"/>
      <c r="E329" s="15"/>
      <c r="F329" s="22"/>
      <c r="G329" s="26"/>
      <c r="H329" s="15"/>
      <c r="I329" s="15"/>
      <c r="J329" s="16"/>
      <c r="K329" s="16"/>
      <c r="L329" s="16"/>
      <c r="M329" s="16"/>
      <c r="N329" s="27"/>
      <c r="O329" s="48" t="str" cm="1">
        <f t="array" ref="O329" xml:space="preserve"> IF(AND($L329 &lt;&gt; "", $L329 &lt;&gt; "Removed"), N329 + _xlfn.IFS(_xlfn.TEXTAFTER(L329," ",1) = "Days", _xlfn.NUMBERVALUE(_xlfn.TEXTBEFORE(L329," ",1)), L329="18 Months", 547, _xlfn.TEXTAFTER(L329," ",1) = "Years", _xlfn.NUMBERVALUE(_xlfn.TEXTBEFORE(L329," ",1))*365), "")</f>
        <v/>
      </c>
      <c r="P329" s="49"/>
      <c r="Q329" s="15"/>
    </row>
    <row r="330" spans="2:17" ht="16.3" x14ac:dyDescent="0.3">
      <c r="B330" s="15"/>
      <c r="C330" s="15"/>
      <c r="D330" s="15"/>
      <c r="E330" s="15"/>
      <c r="F330" s="22"/>
      <c r="G330" s="26"/>
      <c r="H330" s="15"/>
      <c r="I330" s="15"/>
      <c r="J330" s="16"/>
      <c r="K330" s="16"/>
      <c r="L330" s="16"/>
      <c r="M330" s="16"/>
      <c r="N330" s="27"/>
      <c r="O330" s="48" t="str" cm="1">
        <f t="array" ref="O330" xml:space="preserve"> IF(AND($L330 &lt;&gt; "", $L330 &lt;&gt; "Removed"), N330 + _xlfn.IFS(_xlfn.TEXTAFTER(L330," ",1) = "Days", _xlfn.NUMBERVALUE(_xlfn.TEXTBEFORE(L330," ",1)), L330="18 Months", 547, _xlfn.TEXTAFTER(L330," ",1) = "Years", _xlfn.NUMBERVALUE(_xlfn.TEXTBEFORE(L330," ",1))*365), "")</f>
        <v/>
      </c>
      <c r="P330" s="49"/>
      <c r="Q330" s="15"/>
    </row>
    <row r="331" spans="2:17" ht="16.3" x14ac:dyDescent="0.3">
      <c r="B331" s="15"/>
      <c r="C331" s="15"/>
      <c r="D331" s="15"/>
      <c r="E331" s="15"/>
      <c r="F331" s="22"/>
      <c r="G331" s="26"/>
      <c r="H331" s="15"/>
      <c r="I331" s="15"/>
      <c r="J331" s="16"/>
      <c r="K331" s="16"/>
      <c r="L331" s="16"/>
      <c r="M331" s="16"/>
      <c r="N331" s="27"/>
      <c r="O331" s="48" t="str" cm="1">
        <f t="array" ref="O331" xml:space="preserve"> IF(AND($L331 &lt;&gt; "", $L331 &lt;&gt; "Removed"), N331 + _xlfn.IFS(_xlfn.TEXTAFTER(L331," ",1) = "Days", _xlfn.NUMBERVALUE(_xlfn.TEXTBEFORE(L331," ",1)), L331="18 Months", 547, _xlfn.TEXTAFTER(L331," ",1) = "Years", _xlfn.NUMBERVALUE(_xlfn.TEXTBEFORE(L331," ",1))*365), "")</f>
        <v/>
      </c>
      <c r="P331" s="49"/>
      <c r="Q331" s="15"/>
    </row>
    <row r="332" spans="2:17" ht="16.3" x14ac:dyDescent="0.3">
      <c r="B332" s="15"/>
      <c r="C332" s="15"/>
      <c r="D332" s="15"/>
      <c r="E332" s="15"/>
      <c r="F332" s="22"/>
      <c r="G332" s="26"/>
      <c r="H332" s="15"/>
      <c r="I332" s="15"/>
      <c r="J332" s="16"/>
      <c r="K332" s="16"/>
      <c r="L332" s="16"/>
      <c r="M332" s="16"/>
      <c r="N332" s="27"/>
      <c r="O332" s="48" t="str" cm="1">
        <f t="array" ref="O332" xml:space="preserve"> IF(AND($L332 &lt;&gt; "", $L332 &lt;&gt; "Removed"), N332 + _xlfn.IFS(_xlfn.TEXTAFTER(L332," ",1) = "Days", _xlfn.NUMBERVALUE(_xlfn.TEXTBEFORE(L332," ",1)), L332="18 Months", 547, _xlfn.TEXTAFTER(L332," ",1) = "Years", _xlfn.NUMBERVALUE(_xlfn.TEXTBEFORE(L332," ",1))*365), "")</f>
        <v/>
      </c>
      <c r="P332" s="49"/>
      <c r="Q332" s="15"/>
    </row>
    <row r="333" spans="2:17" ht="16.3" x14ac:dyDescent="0.3">
      <c r="B333" s="15"/>
      <c r="C333" s="15"/>
      <c r="D333" s="15"/>
      <c r="E333" s="15"/>
      <c r="F333" s="22"/>
      <c r="G333" s="26"/>
      <c r="H333" s="15"/>
      <c r="I333" s="15"/>
      <c r="J333" s="16"/>
      <c r="K333" s="16"/>
      <c r="L333" s="16"/>
      <c r="M333" s="31"/>
      <c r="N333" s="27"/>
      <c r="O333" s="48" t="str" cm="1">
        <f t="array" ref="O333" xml:space="preserve"> IF(AND($L333 &lt;&gt; "", $L333 &lt;&gt; "Removed"), N333 + _xlfn.IFS(_xlfn.TEXTAFTER(L333," ",1) = "Days", _xlfn.NUMBERVALUE(_xlfn.TEXTBEFORE(L333," ",1)), L333="18 Months", 547, _xlfn.TEXTAFTER(L333," ",1) = "Years", _xlfn.NUMBERVALUE(_xlfn.TEXTBEFORE(L333," ",1))*365), "")</f>
        <v/>
      </c>
      <c r="P333" s="49"/>
      <c r="Q333" s="15"/>
    </row>
    <row r="334" spans="2:17" ht="16.3" x14ac:dyDescent="0.3">
      <c r="B334" s="15"/>
      <c r="C334" s="15"/>
      <c r="D334" s="15"/>
      <c r="E334" s="15"/>
      <c r="F334" s="22"/>
      <c r="G334" s="26"/>
      <c r="H334" s="15"/>
      <c r="I334" s="15"/>
      <c r="J334" s="16"/>
      <c r="K334" s="16"/>
      <c r="L334" s="16"/>
      <c r="M334" s="16"/>
      <c r="N334" s="27"/>
      <c r="O334" s="48" t="str" cm="1">
        <f t="array" ref="O334" xml:space="preserve"> IF(AND($L334 &lt;&gt; "", $L334 &lt;&gt; "Removed"), N334 + _xlfn.IFS(_xlfn.TEXTAFTER(L334," ",1) = "Days", _xlfn.NUMBERVALUE(_xlfn.TEXTBEFORE(L334," ",1)), L334="18 Months", 547, _xlfn.TEXTAFTER(L334," ",1) = "Years", _xlfn.NUMBERVALUE(_xlfn.TEXTBEFORE(L334," ",1))*365), "")</f>
        <v/>
      </c>
      <c r="P334" s="49"/>
      <c r="Q334" s="15"/>
    </row>
    <row r="335" spans="2:17" ht="16.3" x14ac:dyDescent="0.3">
      <c r="B335" s="15"/>
      <c r="C335" s="15"/>
      <c r="D335" s="15"/>
      <c r="E335" s="15"/>
      <c r="F335" s="22"/>
      <c r="G335" s="26"/>
      <c r="H335" s="15"/>
      <c r="I335" s="15"/>
      <c r="J335" s="16"/>
      <c r="K335" s="16"/>
      <c r="L335" s="16"/>
      <c r="M335" s="16"/>
      <c r="N335" s="27"/>
      <c r="O335" s="48" t="str" cm="1">
        <f t="array" ref="O335" xml:space="preserve"> IF(AND($L335 &lt;&gt; "", $L335 &lt;&gt; "Removed"), N335 + _xlfn.IFS(_xlfn.TEXTAFTER(L335," ",1) = "Days", _xlfn.NUMBERVALUE(_xlfn.TEXTBEFORE(L335," ",1)), L335="18 Months", 547, _xlfn.TEXTAFTER(L335," ",1) = "Years", _xlfn.NUMBERVALUE(_xlfn.TEXTBEFORE(L335," ",1))*365), "")</f>
        <v/>
      </c>
      <c r="P335" s="49"/>
      <c r="Q335" s="15"/>
    </row>
    <row r="336" spans="2:17" ht="16.3" x14ac:dyDescent="0.3">
      <c r="B336" s="15"/>
      <c r="C336" s="15"/>
      <c r="D336" s="15"/>
      <c r="E336" s="15"/>
      <c r="F336" s="22"/>
      <c r="G336" s="26"/>
      <c r="H336" s="15"/>
      <c r="I336" s="15"/>
      <c r="J336" s="16"/>
      <c r="K336" s="16"/>
      <c r="L336" s="16"/>
      <c r="M336" s="16"/>
      <c r="N336" s="27"/>
      <c r="O336" s="48" t="str" cm="1">
        <f t="array" ref="O336" xml:space="preserve"> IF(AND($L336 &lt;&gt; "", $L336 &lt;&gt; "Removed"), N336 + _xlfn.IFS(_xlfn.TEXTAFTER(L336," ",1) = "Days", _xlfn.NUMBERVALUE(_xlfn.TEXTBEFORE(L336," ",1)), L336="18 Months", 547, _xlfn.TEXTAFTER(L336," ",1) = "Years", _xlfn.NUMBERVALUE(_xlfn.TEXTBEFORE(L336," ",1))*365), "")</f>
        <v/>
      </c>
      <c r="P336" s="49"/>
      <c r="Q336" s="15"/>
    </row>
    <row r="337" spans="2:17" ht="16.3" x14ac:dyDescent="0.3">
      <c r="B337" s="15"/>
      <c r="C337" s="15"/>
      <c r="D337" s="15"/>
      <c r="E337" s="15"/>
      <c r="F337" s="22"/>
      <c r="G337" s="26"/>
      <c r="H337" s="15"/>
      <c r="I337" s="15"/>
      <c r="J337" s="16"/>
      <c r="K337" s="16"/>
      <c r="L337" s="16"/>
      <c r="M337" s="16"/>
      <c r="N337" s="27"/>
      <c r="O337" s="48" t="str" cm="1">
        <f t="array" ref="O337" xml:space="preserve"> IF(AND($L337 &lt;&gt; "", $L337 &lt;&gt; "Removed"), N337 + _xlfn.IFS(_xlfn.TEXTAFTER(L337," ",1) = "Days", _xlfn.NUMBERVALUE(_xlfn.TEXTBEFORE(L337," ",1)), L337="18 Months", 547, _xlfn.TEXTAFTER(L337," ",1) = "Years", _xlfn.NUMBERVALUE(_xlfn.TEXTBEFORE(L337," ",1))*365), "")</f>
        <v/>
      </c>
      <c r="P337" s="49"/>
      <c r="Q337" s="15"/>
    </row>
    <row r="338" spans="2:17" ht="16.3" x14ac:dyDescent="0.3">
      <c r="B338" s="15"/>
      <c r="C338" s="15"/>
      <c r="D338" s="15"/>
      <c r="E338" s="15"/>
      <c r="F338" s="22"/>
      <c r="G338" s="26"/>
      <c r="H338" s="15"/>
      <c r="I338" s="15"/>
      <c r="J338" s="16"/>
      <c r="K338" s="16"/>
      <c r="L338" s="16"/>
      <c r="M338" s="16"/>
      <c r="N338" s="27"/>
      <c r="O338" s="48" t="str" cm="1">
        <f t="array" ref="O338" xml:space="preserve"> IF(AND($L338 &lt;&gt; "", $L338 &lt;&gt; "Removed"), N338 + _xlfn.IFS(_xlfn.TEXTAFTER(L338," ",1) = "Days", _xlfn.NUMBERVALUE(_xlfn.TEXTBEFORE(L338," ",1)), L338="18 Months", 547, _xlfn.TEXTAFTER(L338," ",1) = "Years", _xlfn.NUMBERVALUE(_xlfn.TEXTBEFORE(L338," ",1))*365), "")</f>
        <v/>
      </c>
      <c r="P338" s="49"/>
      <c r="Q338" s="15"/>
    </row>
    <row r="339" spans="2:17" ht="16.3" x14ac:dyDescent="0.3">
      <c r="B339" s="15"/>
      <c r="C339" s="15"/>
      <c r="D339" s="15"/>
      <c r="E339" s="15"/>
      <c r="F339" s="22"/>
      <c r="G339" s="26"/>
      <c r="H339" s="15"/>
      <c r="I339" s="15"/>
      <c r="J339" s="16"/>
      <c r="K339" s="16"/>
      <c r="L339" s="16"/>
      <c r="M339" s="16"/>
      <c r="N339" s="27"/>
      <c r="O339" s="48" t="str" cm="1">
        <f t="array" ref="O339" xml:space="preserve"> IF(AND($L339 &lt;&gt; "", $L339 &lt;&gt; "Removed"), N339 + _xlfn.IFS(_xlfn.TEXTAFTER(L339," ",1) = "Days", _xlfn.NUMBERVALUE(_xlfn.TEXTBEFORE(L339," ",1)), L339="18 Months", 547, _xlfn.TEXTAFTER(L339," ",1) = "Years", _xlfn.NUMBERVALUE(_xlfn.TEXTBEFORE(L339," ",1))*365), "")</f>
        <v/>
      </c>
      <c r="P339" s="49"/>
      <c r="Q339" s="15"/>
    </row>
    <row r="340" spans="2:17" ht="16.3" x14ac:dyDescent="0.3">
      <c r="B340" s="15"/>
      <c r="C340" s="15"/>
      <c r="D340" s="15"/>
      <c r="E340" s="15"/>
      <c r="F340" s="22"/>
      <c r="G340" s="26"/>
      <c r="H340" s="15"/>
      <c r="I340" s="15"/>
      <c r="J340" s="16"/>
      <c r="K340" s="16"/>
      <c r="L340" s="16"/>
      <c r="M340" s="16"/>
      <c r="N340" s="27"/>
      <c r="O340" s="48" t="str" cm="1">
        <f t="array" ref="O340" xml:space="preserve"> IF(AND($L340 &lt;&gt; "", $L340 &lt;&gt; "Removed"), N340 + _xlfn.IFS(_xlfn.TEXTAFTER(L340," ",1) = "Days", _xlfn.NUMBERVALUE(_xlfn.TEXTBEFORE(L340," ",1)), L340="18 Months", 547, _xlfn.TEXTAFTER(L340," ",1) = "Years", _xlfn.NUMBERVALUE(_xlfn.TEXTBEFORE(L340," ",1))*365), "")</f>
        <v/>
      </c>
      <c r="P340" s="49"/>
      <c r="Q340" s="15"/>
    </row>
    <row r="341" spans="2:17" ht="16.3" x14ac:dyDescent="0.3">
      <c r="B341" s="15"/>
      <c r="C341" s="15"/>
      <c r="D341" s="15"/>
      <c r="E341" s="15"/>
      <c r="F341" s="22"/>
      <c r="G341" s="26"/>
      <c r="H341" s="15"/>
      <c r="I341" s="15"/>
      <c r="J341" s="16"/>
      <c r="K341" s="16"/>
      <c r="L341" s="16"/>
      <c r="M341" s="16"/>
      <c r="N341" s="27"/>
      <c r="O341" s="48" t="str" cm="1">
        <f t="array" ref="O341" xml:space="preserve"> IF(AND($L341 &lt;&gt; "", $L341 &lt;&gt; "Removed"), N341 + _xlfn.IFS(_xlfn.TEXTAFTER(L341," ",1) = "Days", _xlfn.NUMBERVALUE(_xlfn.TEXTBEFORE(L341," ",1)), L341="18 Months", 547, _xlfn.TEXTAFTER(L341," ",1) = "Years", _xlfn.NUMBERVALUE(_xlfn.TEXTBEFORE(L341," ",1))*365), "")</f>
        <v/>
      </c>
      <c r="P341" s="49"/>
      <c r="Q341" s="15"/>
    </row>
    <row r="342" spans="2:17" ht="16.3" x14ac:dyDescent="0.3">
      <c r="B342" s="15"/>
      <c r="C342" s="15"/>
      <c r="D342" s="15"/>
      <c r="E342" s="15"/>
      <c r="F342" s="22"/>
      <c r="G342" s="26"/>
      <c r="H342" s="15"/>
      <c r="I342" s="15"/>
      <c r="J342" s="16"/>
      <c r="K342" s="16"/>
      <c r="L342" s="16"/>
      <c r="M342" s="16"/>
      <c r="N342" s="27"/>
      <c r="O342" s="48" t="str" cm="1">
        <f t="array" ref="O342" xml:space="preserve"> IF(AND($L342 &lt;&gt; "", $L342 &lt;&gt; "Removed"), N342 + _xlfn.IFS(_xlfn.TEXTAFTER(L342," ",1) = "Days", _xlfn.NUMBERVALUE(_xlfn.TEXTBEFORE(L342," ",1)), L342="18 Months", 547, _xlfn.TEXTAFTER(L342," ",1) = "Years", _xlfn.NUMBERVALUE(_xlfn.TEXTBEFORE(L342," ",1))*365), "")</f>
        <v/>
      </c>
      <c r="P342" s="49"/>
      <c r="Q342" s="15"/>
    </row>
    <row r="343" spans="2:17" ht="16.3" x14ac:dyDescent="0.3">
      <c r="B343" s="15"/>
      <c r="C343" s="15"/>
      <c r="D343" s="15"/>
      <c r="E343" s="15"/>
      <c r="F343" s="22"/>
      <c r="G343" s="26"/>
      <c r="H343" s="15"/>
      <c r="I343" s="15"/>
      <c r="J343" s="16"/>
      <c r="K343" s="16"/>
      <c r="L343" s="16"/>
      <c r="M343" s="16"/>
      <c r="N343" s="27"/>
      <c r="O343" s="48" t="str" cm="1">
        <f t="array" ref="O343" xml:space="preserve"> IF(AND($L343 &lt;&gt; "", $L343 &lt;&gt; "Removed"), N343 + _xlfn.IFS(_xlfn.TEXTAFTER(L343," ",1) = "Days", _xlfn.NUMBERVALUE(_xlfn.TEXTBEFORE(L343," ",1)), L343="18 Months", 547, _xlfn.TEXTAFTER(L343," ",1) = "Years", _xlfn.NUMBERVALUE(_xlfn.TEXTBEFORE(L343," ",1))*365), "")</f>
        <v/>
      </c>
      <c r="P343" s="49"/>
      <c r="Q343" s="15"/>
    </row>
    <row r="344" spans="2:17" ht="16.3" x14ac:dyDescent="0.3">
      <c r="B344" s="15"/>
      <c r="C344" s="15"/>
      <c r="D344" s="15"/>
      <c r="E344" s="15"/>
      <c r="F344" s="22"/>
      <c r="G344" s="26"/>
      <c r="H344" s="15"/>
      <c r="I344" s="15"/>
      <c r="J344" s="16"/>
      <c r="K344" s="16"/>
      <c r="L344" s="16"/>
      <c r="M344" s="16"/>
      <c r="N344" s="27"/>
      <c r="O344" s="48" t="str" cm="1">
        <f t="array" ref="O344" xml:space="preserve"> IF(AND($L344 &lt;&gt; "", $L344 &lt;&gt; "Removed"), N344 + _xlfn.IFS(_xlfn.TEXTAFTER(L344," ",1) = "Days", _xlfn.NUMBERVALUE(_xlfn.TEXTBEFORE(L344," ",1)), L344="18 Months", 547, _xlfn.TEXTAFTER(L344," ",1) = "Years", _xlfn.NUMBERVALUE(_xlfn.TEXTBEFORE(L344," ",1))*365), "")</f>
        <v/>
      </c>
      <c r="P344" s="49"/>
      <c r="Q344" s="15"/>
    </row>
    <row r="345" spans="2:17" ht="16.3" x14ac:dyDescent="0.3">
      <c r="B345" s="15"/>
      <c r="C345" s="15"/>
      <c r="D345" s="15"/>
      <c r="E345" s="15"/>
      <c r="F345" s="22"/>
      <c r="G345" s="26"/>
      <c r="H345" s="15"/>
      <c r="I345" s="15"/>
      <c r="J345" s="16"/>
      <c r="K345" s="16"/>
      <c r="L345" s="16"/>
      <c r="M345" s="16"/>
      <c r="N345" s="27"/>
      <c r="O345" s="48" t="str" cm="1">
        <f t="array" ref="O345" xml:space="preserve"> IF(AND($L345 &lt;&gt; "", $L345 &lt;&gt; "Removed"), N345 + _xlfn.IFS(_xlfn.TEXTAFTER(L345," ",1) = "Days", _xlfn.NUMBERVALUE(_xlfn.TEXTBEFORE(L345," ",1)), L345="18 Months", 547, _xlfn.TEXTAFTER(L345," ",1) = "Years", _xlfn.NUMBERVALUE(_xlfn.TEXTBEFORE(L345," ",1))*365), "")</f>
        <v/>
      </c>
      <c r="P345" s="49"/>
      <c r="Q345" s="15"/>
    </row>
    <row r="346" spans="2:17" ht="16.3" x14ac:dyDescent="0.3">
      <c r="B346" s="15"/>
      <c r="C346" s="15"/>
      <c r="D346" s="15"/>
      <c r="E346" s="15"/>
      <c r="F346" s="22"/>
      <c r="G346" s="26"/>
      <c r="H346" s="15"/>
      <c r="I346" s="15"/>
      <c r="J346" s="16"/>
      <c r="K346" s="16"/>
      <c r="L346" s="16"/>
      <c r="M346" s="16"/>
      <c r="N346" s="27"/>
      <c r="O346" s="48" t="str" cm="1">
        <f t="array" ref="O346" xml:space="preserve"> IF(AND($L346 &lt;&gt; "", $L346 &lt;&gt; "Removed"), N346 + _xlfn.IFS(_xlfn.TEXTAFTER(L346," ",1) = "Days", _xlfn.NUMBERVALUE(_xlfn.TEXTBEFORE(L346," ",1)), L346="18 Months", 547, _xlfn.TEXTAFTER(L346," ",1) = "Years", _xlfn.NUMBERVALUE(_xlfn.TEXTBEFORE(L346," ",1))*365), "")</f>
        <v/>
      </c>
      <c r="P346" s="49"/>
      <c r="Q346" s="15"/>
    </row>
    <row r="347" spans="2:17" ht="16.3" x14ac:dyDescent="0.3">
      <c r="B347" s="15"/>
      <c r="C347" s="15"/>
      <c r="D347" s="15"/>
      <c r="E347" s="15"/>
      <c r="F347" s="22"/>
      <c r="G347" s="26"/>
      <c r="H347" s="15"/>
      <c r="I347" s="15"/>
      <c r="J347" s="16"/>
      <c r="K347" s="16"/>
      <c r="L347" s="16"/>
      <c r="M347" s="16"/>
      <c r="N347" s="27"/>
      <c r="O347" s="48" t="str" cm="1">
        <f t="array" ref="O347" xml:space="preserve"> IF(AND($L347 &lt;&gt; "", $L347 &lt;&gt; "Removed"), N347 + _xlfn.IFS(_xlfn.TEXTAFTER(L347," ",1) = "Days", _xlfn.NUMBERVALUE(_xlfn.TEXTBEFORE(L347," ",1)), L347="18 Months", 547, _xlfn.TEXTAFTER(L347," ",1) = "Years", _xlfn.NUMBERVALUE(_xlfn.TEXTBEFORE(L347," ",1))*365), "")</f>
        <v/>
      </c>
      <c r="P347" s="49"/>
      <c r="Q347" s="15"/>
    </row>
    <row r="348" spans="2:17" ht="16.3" x14ac:dyDescent="0.3">
      <c r="B348" s="15"/>
      <c r="C348" s="15"/>
      <c r="D348" s="15"/>
      <c r="E348" s="15"/>
      <c r="F348" s="22"/>
      <c r="G348" s="26"/>
      <c r="H348" s="15"/>
      <c r="I348" s="15"/>
      <c r="J348" s="16"/>
      <c r="K348" s="16"/>
      <c r="L348" s="16"/>
      <c r="M348" s="16"/>
      <c r="N348" s="27"/>
      <c r="O348" s="48" t="str" cm="1">
        <f t="array" ref="O348" xml:space="preserve"> IF(AND($L348 &lt;&gt; "", $L348 &lt;&gt; "Removed"), N348 + _xlfn.IFS(_xlfn.TEXTAFTER(L348," ",1) = "Days", _xlfn.NUMBERVALUE(_xlfn.TEXTBEFORE(L348," ",1)), L348="18 Months", 547, _xlfn.TEXTAFTER(L348," ",1) = "Years", _xlfn.NUMBERVALUE(_xlfn.TEXTBEFORE(L348," ",1))*365), "")</f>
        <v/>
      </c>
      <c r="P348" s="49"/>
      <c r="Q348" s="15"/>
    </row>
    <row r="349" spans="2:17" ht="16.3" x14ac:dyDescent="0.3">
      <c r="B349" s="15"/>
      <c r="C349" s="15"/>
      <c r="D349" s="15"/>
      <c r="E349" s="15"/>
      <c r="F349" s="22"/>
      <c r="G349" s="26"/>
      <c r="H349" s="15"/>
      <c r="I349" s="15"/>
      <c r="J349" s="16"/>
      <c r="K349" s="16"/>
      <c r="L349" s="16"/>
      <c r="M349" s="16"/>
      <c r="N349" s="27"/>
      <c r="O349" s="48" t="str" cm="1">
        <f t="array" ref="O349" xml:space="preserve"> IF(AND($L349 &lt;&gt; "", $L349 &lt;&gt; "Removed"), N349 + _xlfn.IFS(_xlfn.TEXTAFTER(L349," ",1) = "Days", _xlfn.NUMBERVALUE(_xlfn.TEXTBEFORE(L349," ",1)), L349="18 Months", 547, _xlfn.TEXTAFTER(L349," ",1) = "Years", _xlfn.NUMBERVALUE(_xlfn.TEXTBEFORE(L349," ",1))*365), "")</f>
        <v/>
      </c>
      <c r="P349" s="49"/>
      <c r="Q349" s="15"/>
    </row>
    <row r="350" spans="2:17" ht="16.3" x14ac:dyDescent="0.3">
      <c r="B350" s="15"/>
      <c r="C350" s="15"/>
      <c r="D350" s="15"/>
      <c r="E350" s="15"/>
      <c r="F350" s="22"/>
      <c r="G350" s="26"/>
      <c r="H350" s="15"/>
      <c r="I350" s="15"/>
      <c r="J350" s="16"/>
      <c r="K350" s="16"/>
      <c r="L350" s="16"/>
      <c r="M350" s="16"/>
      <c r="N350" s="27"/>
      <c r="O350" s="48" t="str" cm="1">
        <f t="array" ref="O350" xml:space="preserve"> IF(AND($L350 &lt;&gt; "", $L350 &lt;&gt; "Removed"), N350 + _xlfn.IFS(_xlfn.TEXTAFTER(L350," ",1) = "Days", _xlfn.NUMBERVALUE(_xlfn.TEXTBEFORE(L350," ",1)), L350="18 Months", 547, _xlfn.TEXTAFTER(L350," ",1) = "Years", _xlfn.NUMBERVALUE(_xlfn.TEXTBEFORE(L350," ",1))*365), "")</f>
        <v/>
      </c>
      <c r="P350" s="49"/>
      <c r="Q350" s="15"/>
    </row>
    <row r="351" spans="2:17" ht="16.3" x14ac:dyDescent="0.3">
      <c r="B351" s="15"/>
      <c r="C351" s="15"/>
      <c r="D351" s="15"/>
      <c r="E351" s="15"/>
      <c r="F351" s="22"/>
      <c r="G351" s="26"/>
      <c r="H351" s="15"/>
      <c r="I351" s="15"/>
      <c r="J351" s="16"/>
      <c r="K351" s="16"/>
      <c r="L351" s="16"/>
      <c r="M351" s="16"/>
      <c r="N351" s="27"/>
      <c r="O351" s="48" t="str" cm="1">
        <f t="array" ref="O351" xml:space="preserve"> IF(AND($L351 &lt;&gt; "", $L351 &lt;&gt; "Removed"), N351 + _xlfn.IFS(_xlfn.TEXTAFTER(L351," ",1) = "Days", _xlfn.NUMBERVALUE(_xlfn.TEXTBEFORE(L351," ",1)), L351="18 Months", 547, _xlfn.TEXTAFTER(L351," ",1) = "Years", _xlfn.NUMBERVALUE(_xlfn.TEXTBEFORE(L351," ",1))*365), "")</f>
        <v/>
      </c>
      <c r="P351" s="49"/>
      <c r="Q351" s="15"/>
    </row>
    <row r="352" spans="2:17" ht="16.3" x14ac:dyDescent="0.3">
      <c r="B352" s="15"/>
      <c r="C352" s="15"/>
      <c r="D352" s="15"/>
      <c r="E352" s="15"/>
      <c r="F352" s="22"/>
      <c r="G352" s="26"/>
      <c r="H352" s="15"/>
      <c r="I352" s="15"/>
      <c r="J352" s="16"/>
      <c r="K352" s="16"/>
      <c r="L352" s="16"/>
      <c r="M352" s="16"/>
      <c r="N352" s="27"/>
      <c r="O352" s="48" t="str" cm="1">
        <f t="array" ref="O352" xml:space="preserve"> IF(AND($L352 &lt;&gt; "", $L352 &lt;&gt; "Removed"), N352 + _xlfn.IFS(_xlfn.TEXTAFTER(L352," ",1) = "Days", _xlfn.NUMBERVALUE(_xlfn.TEXTBEFORE(L352," ",1)), L352="18 Months", 547, _xlfn.TEXTAFTER(L352," ",1) = "Years", _xlfn.NUMBERVALUE(_xlfn.TEXTBEFORE(L352," ",1))*365), "")</f>
        <v/>
      </c>
      <c r="P352" s="49"/>
      <c r="Q352" s="15"/>
    </row>
    <row r="353" spans="2:17" ht="16.3" x14ac:dyDescent="0.3">
      <c r="B353" s="15"/>
      <c r="C353" s="15"/>
      <c r="D353" s="15"/>
      <c r="E353" s="15"/>
      <c r="F353" s="22"/>
      <c r="G353" s="26"/>
      <c r="H353" s="15"/>
      <c r="I353" s="15"/>
      <c r="J353" s="16"/>
      <c r="K353" s="16"/>
      <c r="L353" s="16"/>
      <c r="M353" s="16"/>
      <c r="N353" s="27"/>
      <c r="O353" s="48" t="str" cm="1">
        <f t="array" ref="O353" xml:space="preserve"> IF(AND($L353 &lt;&gt; "", $L353 &lt;&gt; "Removed"), N353 + _xlfn.IFS(_xlfn.TEXTAFTER(L353," ",1) = "Days", _xlfn.NUMBERVALUE(_xlfn.TEXTBEFORE(L353," ",1)), L353="18 Months", 547, _xlfn.TEXTAFTER(L353," ",1) = "Years", _xlfn.NUMBERVALUE(_xlfn.TEXTBEFORE(L353," ",1))*365), "")</f>
        <v/>
      </c>
      <c r="P353" s="49"/>
      <c r="Q353" s="15"/>
    </row>
    <row r="354" spans="2:17" ht="16.3" x14ac:dyDescent="0.3">
      <c r="B354" s="15"/>
      <c r="C354" s="15"/>
      <c r="D354" s="15"/>
      <c r="E354" s="15"/>
      <c r="F354" s="22"/>
      <c r="G354" s="26"/>
      <c r="H354" s="15"/>
      <c r="I354" s="15"/>
      <c r="J354" s="16"/>
      <c r="K354" s="16"/>
      <c r="L354" s="16"/>
      <c r="M354" s="16"/>
      <c r="N354" s="27"/>
      <c r="O354" s="48" t="str" cm="1">
        <f t="array" ref="O354" xml:space="preserve"> IF(AND($L354 &lt;&gt; "", $L354 &lt;&gt; "Removed"), N354 + _xlfn.IFS(_xlfn.TEXTAFTER(L354," ",1) = "Days", _xlfn.NUMBERVALUE(_xlfn.TEXTBEFORE(L354," ",1)), L354="18 Months", 547, _xlfn.TEXTAFTER(L354," ",1) = "Years", _xlfn.NUMBERVALUE(_xlfn.TEXTBEFORE(L354," ",1))*365), "")</f>
        <v/>
      </c>
      <c r="P354" s="49"/>
      <c r="Q354" s="15"/>
    </row>
    <row r="355" spans="2:17" ht="16.3" x14ac:dyDescent="0.3">
      <c r="B355" s="15"/>
      <c r="C355" s="15"/>
      <c r="D355" s="15"/>
      <c r="E355" s="15"/>
      <c r="F355" s="22"/>
      <c r="G355" s="26"/>
      <c r="H355" s="15"/>
      <c r="I355" s="15"/>
      <c r="J355" s="16"/>
      <c r="K355" s="16"/>
      <c r="L355" s="16"/>
      <c r="M355" s="16"/>
      <c r="N355" s="27"/>
      <c r="O355" s="48" t="str" cm="1">
        <f t="array" ref="O355" xml:space="preserve"> IF(AND($L355 &lt;&gt; "", $L355 &lt;&gt; "Removed"), N355 + _xlfn.IFS(_xlfn.TEXTAFTER(L355," ",1) = "Days", _xlfn.NUMBERVALUE(_xlfn.TEXTBEFORE(L355," ",1)), L355="18 Months", 547, _xlfn.TEXTAFTER(L355," ",1) = "Years", _xlfn.NUMBERVALUE(_xlfn.TEXTBEFORE(L355," ",1))*365), "")</f>
        <v/>
      </c>
      <c r="P355" s="49"/>
      <c r="Q355" s="15"/>
    </row>
    <row r="356" spans="2:17" ht="16.3" x14ac:dyDescent="0.3">
      <c r="B356" s="15"/>
      <c r="C356" s="15"/>
      <c r="D356" s="15"/>
      <c r="E356" s="15"/>
      <c r="F356" s="22"/>
      <c r="G356" s="26"/>
      <c r="H356" s="15"/>
      <c r="I356" s="15"/>
      <c r="J356" s="16"/>
      <c r="K356" s="16"/>
      <c r="L356" s="16"/>
      <c r="M356" s="16"/>
      <c r="N356" s="27"/>
      <c r="O356" s="48" t="str" cm="1">
        <f t="array" ref="O356" xml:space="preserve"> IF(AND($L356 &lt;&gt; "", $L356 &lt;&gt; "Removed"), N356 + _xlfn.IFS(_xlfn.TEXTAFTER(L356," ",1) = "Days", _xlfn.NUMBERVALUE(_xlfn.TEXTBEFORE(L356," ",1)), L356="18 Months", 547, _xlfn.TEXTAFTER(L356," ",1) = "Years", _xlfn.NUMBERVALUE(_xlfn.TEXTBEFORE(L356," ",1))*365), "")</f>
        <v/>
      </c>
      <c r="P356" s="49"/>
      <c r="Q356" s="15"/>
    </row>
    <row r="357" spans="2:17" ht="16.3" x14ac:dyDescent="0.3">
      <c r="B357" s="15"/>
      <c r="C357" s="15"/>
      <c r="D357" s="15"/>
      <c r="E357" s="15"/>
      <c r="F357" s="22"/>
      <c r="G357" s="26"/>
      <c r="H357" s="15"/>
      <c r="I357" s="15"/>
      <c r="J357" s="16"/>
      <c r="K357" s="16"/>
      <c r="L357" s="16"/>
      <c r="M357" s="16"/>
      <c r="N357" s="27"/>
      <c r="O357" s="48" t="str" cm="1">
        <f t="array" ref="O357" xml:space="preserve"> IF(AND($L357 &lt;&gt; "", $L357 &lt;&gt; "Removed"), N357 + _xlfn.IFS(_xlfn.TEXTAFTER(L357," ",1) = "Days", _xlfn.NUMBERVALUE(_xlfn.TEXTBEFORE(L357," ",1)), L357="18 Months", 547, _xlfn.TEXTAFTER(L357," ",1) = "Years", _xlfn.NUMBERVALUE(_xlfn.TEXTBEFORE(L357," ",1))*365), "")</f>
        <v/>
      </c>
      <c r="P357" s="49"/>
      <c r="Q357" s="15"/>
    </row>
    <row r="358" spans="2:17" ht="16.3" x14ac:dyDescent="0.3">
      <c r="B358" s="15"/>
      <c r="C358" s="15"/>
      <c r="D358" s="15"/>
      <c r="E358" s="15"/>
      <c r="F358" s="22"/>
      <c r="G358" s="26"/>
      <c r="H358" s="15"/>
      <c r="I358" s="15"/>
      <c r="J358" s="16"/>
      <c r="K358" s="16"/>
      <c r="L358" s="16"/>
      <c r="M358" s="16"/>
      <c r="N358" s="27"/>
      <c r="O358" s="48" t="str" cm="1">
        <f t="array" ref="O358" xml:space="preserve"> IF(AND($L358 &lt;&gt; "", $L358 &lt;&gt; "Removed"), N358 + _xlfn.IFS(_xlfn.TEXTAFTER(L358," ",1) = "Days", _xlfn.NUMBERVALUE(_xlfn.TEXTBEFORE(L358," ",1)), L358="18 Months", 547, _xlfn.TEXTAFTER(L358," ",1) = "Years", _xlfn.NUMBERVALUE(_xlfn.TEXTBEFORE(L358," ",1))*365), "")</f>
        <v/>
      </c>
      <c r="P358" s="49"/>
      <c r="Q358" s="15"/>
    </row>
    <row r="359" spans="2:17" ht="16.3" x14ac:dyDescent="0.3">
      <c r="B359" s="15"/>
      <c r="C359" s="15"/>
      <c r="D359" s="15"/>
      <c r="E359" s="15"/>
      <c r="F359" s="22"/>
      <c r="G359" s="26"/>
      <c r="H359" s="15"/>
      <c r="I359" s="15"/>
      <c r="J359" s="16"/>
      <c r="K359" s="16"/>
      <c r="L359" s="16"/>
      <c r="M359" s="16"/>
      <c r="N359" s="27"/>
      <c r="O359" s="48" t="str" cm="1">
        <f t="array" ref="O359" xml:space="preserve"> IF(AND($L359 &lt;&gt; "", $L359 &lt;&gt; "Removed"), N359 + _xlfn.IFS(_xlfn.TEXTAFTER(L359," ",1) = "Days", _xlfn.NUMBERVALUE(_xlfn.TEXTBEFORE(L359," ",1)), L359="18 Months", 547, _xlfn.TEXTAFTER(L359," ",1) = "Years", _xlfn.NUMBERVALUE(_xlfn.TEXTBEFORE(L359," ",1))*365), "")</f>
        <v/>
      </c>
      <c r="P359" s="49"/>
      <c r="Q359" s="15"/>
    </row>
    <row r="360" spans="2:17" ht="16.3" x14ac:dyDescent="0.3">
      <c r="B360" s="15"/>
      <c r="C360" s="15"/>
      <c r="D360" s="15"/>
      <c r="E360" s="15"/>
      <c r="F360" s="22"/>
      <c r="G360" s="26"/>
      <c r="H360" s="15"/>
      <c r="I360" s="15"/>
      <c r="J360" s="16"/>
      <c r="K360" s="16"/>
      <c r="L360" s="16"/>
      <c r="M360" s="16"/>
      <c r="N360" s="27"/>
      <c r="O360" s="48" t="str" cm="1">
        <f t="array" ref="O360" xml:space="preserve"> IF(AND($L360 &lt;&gt; "", $L360 &lt;&gt; "Removed"), N360 + _xlfn.IFS(_xlfn.TEXTAFTER(L360," ",1) = "Days", _xlfn.NUMBERVALUE(_xlfn.TEXTBEFORE(L360," ",1)), L360="18 Months", 547, _xlfn.TEXTAFTER(L360," ",1) = "Years", _xlfn.NUMBERVALUE(_xlfn.TEXTBEFORE(L360," ",1))*365), "")</f>
        <v/>
      </c>
      <c r="P360" s="49"/>
      <c r="Q360" s="15"/>
    </row>
    <row r="361" spans="2:17" ht="16.3" x14ac:dyDescent="0.3">
      <c r="B361" s="15"/>
      <c r="C361" s="15"/>
      <c r="D361" s="15"/>
      <c r="E361" s="15"/>
      <c r="F361" s="22"/>
      <c r="G361" s="26"/>
      <c r="H361" s="15"/>
      <c r="I361" s="15"/>
      <c r="J361" s="16"/>
      <c r="K361" s="16"/>
      <c r="L361" s="16"/>
      <c r="M361" s="16"/>
      <c r="N361" s="27"/>
      <c r="O361" s="48" t="str" cm="1">
        <f t="array" ref="O361" xml:space="preserve"> IF(AND($L361 &lt;&gt; "", $L361 &lt;&gt; "Removed"), N361 + _xlfn.IFS(_xlfn.TEXTAFTER(L361," ",1) = "Days", _xlfn.NUMBERVALUE(_xlfn.TEXTBEFORE(L361," ",1)), L361="18 Months", 547, _xlfn.TEXTAFTER(L361," ",1) = "Years", _xlfn.NUMBERVALUE(_xlfn.TEXTBEFORE(L361," ",1))*365), "")</f>
        <v/>
      </c>
      <c r="P361" s="49"/>
      <c r="Q361" s="15"/>
    </row>
    <row r="362" spans="2:17" ht="16.3" x14ac:dyDescent="0.3">
      <c r="B362" s="15"/>
      <c r="C362" s="15"/>
      <c r="D362" s="15"/>
      <c r="E362" s="15"/>
      <c r="F362" s="22"/>
      <c r="G362" s="26"/>
      <c r="H362" s="15"/>
      <c r="I362" s="15"/>
      <c r="J362" s="16"/>
      <c r="K362" s="16"/>
      <c r="L362" s="16"/>
      <c r="M362" s="16"/>
      <c r="N362" s="27"/>
      <c r="O362" s="48" t="str" cm="1">
        <f t="array" ref="O362" xml:space="preserve"> IF(AND($L362 &lt;&gt; "", $L362 &lt;&gt; "Removed"), N362 + _xlfn.IFS(_xlfn.TEXTAFTER(L362," ",1) = "Days", _xlfn.NUMBERVALUE(_xlfn.TEXTBEFORE(L362," ",1)), L362="18 Months", 547, _xlfn.TEXTAFTER(L362," ",1) = "Years", _xlfn.NUMBERVALUE(_xlfn.TEXTBEFORE(L362," ",1))*365), "")</f>
        <v/>
      </c>
      <c r="P362" s="49"/>
      <c r="Q362" s="15"/>
    </row>
    <row r="363" spans="2:17" ht="16.3" x14ac:dyDescent="0.3">
      <c r="B363" s="15"/>
      <c r="C363" s="15"/>
      <c r="D363" s="15"/>
      <c r="E363" s="15"/>
      <c r="F363" s="22"/>
      <c r="G363" s="26"/>
      <c r="H363" s="15"/>
      <c r="I363" s="15"/>
      <c r="J363" s="16"/>
      <c r="K363" s="16"/>
      <c r="L363" s="16"/>
      <c r="M363" s="16"/>
      <c r="N363" s="27"/>
      <c r="O363" s="48" t="str" cm="1">
        <f t="array" ref="O363" xml:space="preserve"> IF(AND($L363 &lt;&gt; "", $L363 &lt;&gt; "Removed"), N363 + _xlfn.IFS(_xlfn.TEXTAFTER(L363," ",1) = "Days", _xlfn.NUMBERVALUE(_xlfn.TEXTBEFORE(L363," ",1)), L363="18 Months", 547, _xlfn.TEXTAFTER(L363," ",1) = "Years", _xlfn.NUMBERVALUE(_xlfn.TEXTBEFORE(L363," ",1))*365), "")</f>
        <v/>
      </c>
      <c r="P363" s="49"/>
      <c r="Q363" s="15"/>
    </row>
    <row r="364" spans="2:17" ht="16.3" x14ac:dyDescent="0.3">
      <c r="B364" s="15"/>
      <c r="C364" s="15"/>
      <c r="D364" s="15"/>
      <c r="E364" s="15"/>
      <c r="F364" s="22"/>
      <c r="G364" s="26"/>
      <c r="H364" s="15"/>
      <c r="I364" s="15"/>
      <c r="J364" s="16"/>
      <c r="K364" s="16"/>
      <c r="L364" s="16"/>
      <c r="M364" s="16"/>
      <c r="N364" s="27"/>
      <c r="O364" s="48" t="str" cm="1">
        <f t="array" ref="O364" xml:space="preserve"> IF(AND($L364 &lt;&gt; "", $L364 &lt;&gt; "Removed"), N364 + _xlfn.IFS(_xlfn.TEXTAFTER(L364," ",1) = "Days", _xlfn.NUMBERVALUE(_xlfn.TEXTBEFORE(L364," ",1)), L364="18 Months", 547, _xlfn.TEXTAFTER(L364," ",1) = "Years", _xlfn.NUMBERVALUE(_xlfn.TEXTBEFORE(L364," ",1))*365), "")</f>
        <v/>
      </c>
      <c r="P364" s="49"/>
      <c r="Q364" s="15"/>
    </row>
    <row r="365" spans="2:17" ht="16.3" x14ac:dyDescent="0.3">
      <c r="B365" s="15"/>
      <c r="C365" s="15"/>
      <c r="D365" s="15"/>
      <c r="E365" s="15"/>
      <c r="F365" s="22"/>
      <c r="G365" s="26"/>
      <c r="H365" s="15"/>
      <c r="I365" s="15"/>
      <c r="J365" s="16"/>
      <c r="K365" s="16"/>
      <c r="L365" s="16"/>
      <c r="M365" s="16"/>
      <c r="N365" s="27"/>
      <c r="O365" s="48" t="str" cm="1">
        <f t="array" ref="O365" xml:space="preserve"> IF(AND($L365 &lt;&gt; "", $L365 &lt;&gt; "Removed"), N365 + _xlfn.IFS(_xlfn.TEXTAFTER(L365," ",1) = "Days", _xlfn.NUMBERVALUE(_xlfn.TEXTBEFORE(L365," ",1)), L365="18 Months", 547, _xlfn.TEXTAFTER(L365," ",1) = "Years", _xlfn.NUMBERVALUE(_xlfn.TEXTBEFORE(L365," ",1))*365), "")</f>
        <v/>
      </c>
      <c r="P365" s="49"/>
      <c r="Q365" s="15"/>
    </row>
    <row r="366" spans="2:17" ht="16.3" x14ac:dyDescent="0.3">
      <c r="B366" s="15"/>
      <c r="C366" s="15"/>
      <c r="D366" s="15"/>
      <c r="E366" s="15"/>
      <c r="F366" s="22"/>
      <c r="G366" s="26"/>
      <c r="H366" s="15"/>
      <c r="I366" s="15"/>
      <c r="J366" s="16"/>
      <c r="K366" s="16"/>
      <c r="L366" s="16"/>
      <c r="M366" s="16"/>
      <c r="N366" s="27"/>
      <c r="O366" s="48" t="str" cm="1">
        <f t="array" ref="O366" xml:space="preserve"> IF(AND($L366 &lt;&gt; "", $L366 &lt;&gt; "Removed"), N366 + _xlfn.IFS(_xlfn.TEXTAFTER(L366," ",1) = "Days", _xlfn.NUMBERVALUE(_xlfn.TEXTBEFORE(L366," ",1)), L366="18 Months", 547, _xlfn.TEXTAFTER(L366," ",1) = "Years", _xlfn.NUMBERVALUE(_xlfn.TEXTBEFORE(L366," ",1))*365), "")</f>
        <v/>
      </c>
      <c r="P366" s="49"/>
      <c r="Q366" s="15"/>
    </row>
    <row r="367" spans="2:17" ht="16.3" x14ac:dyDescent="0.3">
      <c r="B367" s="15"/>
      <c r="C367" s="15"/>
      <c r="D367" s="15"/>
      <c r="E367" s="15"/>
      <c r="F367" s="22"/>
      <c r="G367" s="26"/>
      <c r="H367" s="15"/>
      <c r="I367" s="15"/>
      <c r="J367" s="16"/>
      <c r="K367" s="16"/>
      <c r="L367" s="16"/>
      <c r="M367" s="16"/>
      <c r="N367" s="27"/>
      <c r="O367" s="48" t="str" cm="1">
        <f t="array" ref="O367" xml:space="preserve"> IF(AND($L367 &lt;&gt; "", $L367 &lt;&gt; "Removed"), N367 + _xlfn.IFS(_xlfn.TEXTAFTER(L367," ",1) = "Days", _xlfn.NUMBERVALUE(_xlfn.TEXTBEFORE(L367," ",1)), L367="18 Months", 547, _xlfn.TEXTAFTER(L367," ",1) = "Years", _xlfn.NUMBERVALUE(_xlfn.TEXTBEFORE(L367," ",1))*365), "")</f>
        <v/>
      </c>
      <c r="P367" s="49"/>
      <c r="Q367" s="15"/>
    </row>
    <row r="368" spans="2:17" ht="16.3" x14ac:dyDescent="0.3">
      <c r="B368" s="15"/>
      <c r="C368" s="15"/>
      <c r="D368" s="15"/>
      <c r="E368" s="15"/>
      <c r="F368" s="22"/>
      <c r="G368" s="26"/>
      <c r="H368" s="15"/>
      <c r="I368" s="15"/>
      <c r="J368" s="16"/>
      <c r="K368" s="16"/>
      <c r="L368" s="16"/>
      <c r="M368" s="16"/>
      <c r="N368" s="27"/>
      <c r="O368" s="48" t="str" cm="1">
        <f t="array" ref="O368" xml:space="preserve"> IF(AND($L368 &lt;&gt; "", $L368 &lt;&gt; "Removed"), N368 + _xlfn.IFS(_xlfn.TEXTAFTER(L368," ",1) = "Days", _xlfn.NUMBERVALUE(_xlfn.TEXTBEFORE(L368," ",1)), L368="18 Months", 547, _xlfn.TEXTAFTER(L368," ",1) = "Years", _xlfn.NUMBERVALUE(_xlfn.TEXTBEFORE(L368," ",1))*365), "")</f>
        <v/>
      </c>
      <c r="P368" s="49"/>
      <c r="Q368" s="15"/>
    </row>
    <row r="369" spans="2:17" ht="16.3" x14ac:dyDescent="0.3">
      <c r="B369" s="15"/>
      <c r="C369" s="15"/>
      <c r="D369" s="15"/>
      <c r="E369" s="15"/>
      <c r="F369" s="22"/>
      <c r="G369" s="26"/>
      <c r="H369" s="15"/>
      <c r="I369" s="15"/>
      <c r="J369" s="16"/>
      <c r="K369" s="16"/>
      <c r="L369" s="16"/>
      <c r="M369" s="16"/>
      <c r="N369" s="27"/>
      <c r="O369" s="48" t="str" cm="1">
        <f t="array" ref="O369" xml:space="preserve"> IF(AND($L369 &lt;&gt; "", $L369 &lt;&gt; "Removed"), N369 + _xlfn.IFS(_xlfn.TEXTAFTER(L369," ",1) = "Days", _xlfn.NUMBERVALUE(_xlfn.TEXTBEFORE(L369," ",1)), L369="18 Months", 547, _xlfn.TEXTAFTER(L369," ",1) = "Years", _xlfn.NUMBERVALUE(_xlfn.TEXTBEFORE(L369," ",1))*365), "")</f>
        <v/>
      </c>
      <c r="P369" s="49"/>
      <c r="Q369" s="15"/>
    </row>
    <row r="370" spans="2:17" ht="16.3" x14ac:dyDescent="0.3">
      <c r="B370" s="15"/>
      <c r="C370" s="15"/>
      <c r="D370" s="15"/>
      <c r="E370" s="15"/>
      <c r="F370" s="22"/>
      <c r="G370" s="26"/>
      <c r="H370" s="15"/>
      <c r="I370" s="15"/>
      <c r="J370" s="16"/>
      <c r="K370" s="16"/>
      <c r="L370" s="16"/>
      <c r="M370" s="16"/>
      <c r="N370" s="27"/>
      <c r="O370" s="48" t="str" cm="1">
        <f t="array" ref="O370" xml:space="preserve"> IF(AND($L370 &lt;&gt; "", $L370 &lt;&gt; "Removed"), N370 + _xlfn.IFS(_xlfn.TEXTAFTER(L370," ",1) = "Days", _xlfn.NUMBERVALUE(_xlfn.TEXTBEFORE(L370," ",1)), L370="18 Months", 547, _xlfn.TEXTAFTER(L370," ",1) = "Years", _xlfn.NUMBERVALUE(_xlfn.TEXTBEFORE(L370," ",1))*365), "")</f>
        <v/>
      </c>
      <c r="P370" s="49"/>
      <c r="Q370" s="15"/>
    </row>
    <row r="371" spans="2:17" ht="16.3" x14ac:dyDescent="0.3">
      <c r="B371" s="15"/>
      <c r="C371" s="15"/>
      <c r="D371" s="15"/>
      <c r="E371" s="15"/>
      <c r="F371" s="22"/>
      <c r="G371" s="26"/>
      <c r="H371" s="15"/>
      <c r="I371" s="15"/>
      <c r="J371" s="16"/>
      <c r="K371" s="16"/>
      <c r="L371" s="16"/>
      <c r="M371" s="16"/>
      <c r="N371" s="27"/>
      <c r="O371" s="48" t="str" cm="1">
        <f t="array" ref="O371" xml:space="preserve"> IF(AND($L371 &lt;&gt; "", $L371 &lt;&gt; "Removed"), N371 + _xlfn.IFS(_xlfn.TEXTAFTER(L371," ",1) = "Days", _xlfn.NUMBERVALUE(_xlfn.TEXTBEFORE(L371," ",1)), L371="18 Months", 547, _xlfn.TEXTAFTER(L371," ",1) = "Years", _xlfn.NUMBERVALUE(_xlfn.TEXTBEFORE(L371," ",1))*365), "")</f>
        <v/>
      </c>
      <c r="P371" s="49"/>
      <c r="Q371" s="15"/>
    </row>
    <row r="372" spans="2:17" ht="16.3" x14ac:dyDescent="0.3">
      <c r="B372" s="15"/>
      <c r="C372" s="15"/>
      <c r="D372" s="15"/>
      <c r="E372" s="15"/>
      <c r="F372" s="22"/>
      <c r="G372" s="26"/>
      <c r="H372" s="15"/>
      <c r="I372" s="15"/>
      <c r="J372" s="16"/>
      <c r="K372" s="16"/>
      <c r="L372" s="16"/>
      <c r="M372" s="16"/>
      <c r="N372" s="27"/>
      <c r="O372" s="48" t="str" cm="1">
        <f t="array" ref="O372" xml:space="preserve"> IF(AND($L372 &lt;&gt; "", $L372 &lt;&gt; "Removed"), N372 + _xlfn.IFS(_xlfn.TEXTAFTER(L372," ",1) = "Days", _xlfn.NUMBERVALUE(_xlfn.TEXTBEFORE(L372," ",1)), L372="18 Months", 547, _xlfn.TEXTAFTER(L372," ",1) = "Years", _xlfn.NUMBERVALUE(_xlfn.TEXTBEFORE(L372," ",1))*365), "")</f>
        <v/>
      </c>
      <c r="P372" s="49"/>
      <c r="Q372" s="15"/>
    </row>
    <row r="373" spans="2:17" ht="16.3" x14ac:dyDescent="0.3">
      <c r="B373" s="15"/>
      <c r="C373" s="15"/>
      <c r="D373" s="15"/>
      <c r="E373" s="15"/>
      <c r="F373" s="22"/>
      <c r="G373" s="26"/>
      <c r="H373" s="15"/>
      <c r="I373" s="15"/>
      <c r="J373" s="16"/>
      <c r="K373" s="16"/>
      <c r="L373" s="16"/>
      <c r="M373" s="16"/>
      <c r="N373" s="27"/>
      <c r="O373" s="48" t="str" cm="1">
        <f t="array" ref="O373" xml:space="preserve"> IF(AND($L373 &lt;&gt; "", $L373 &lt;&gt; "Removed"), N373 + _xlfn.IFS(_xlfn.TEXTAFTER(L373," ",1) = "Days", _xlfn.NUMBERVALUE(_xlfn.TEXTBEFORE(L373," ",1)), L373="18 Months", 547, _xlfn.TEXTAFTER(L373," ",1) = "Years", _xlfn.NUMBERVALUE(_xlfn.TEXTBEFORE(L373," ",1))*365), "")</f>
        <v/>
      </c>
      <c r="P373" s="49"/>
      <c r="Q373" s="15"/>
    </row>
    <row r="374" spans="2:17" ht="16.3" x14ac:dyDescent="0.3">
      <c r="B374" s="15"/>
      <c r="C374" s="15"/>
      <c r="D374" s="15"/>
      <c r="E374" s="15"/>
      <c r="F374" s="22"/>
      <c r="G374" s="26"/>
      <c r="H374" s="15"/>
      <c r="I374" s="15"/>
      <c r="J374" s="16"/>
      <c r="K374" s="16"/>
      <c r="L374" s="16"/>
      <c r="M374" s="16"/>
      <c r="N374" s="27"/>
      <c r="O374" s="48" t="str" cm="1">
        <f t="array" ref="O374" xml:space="preserve"> IF(AND($L374 &lt;&gt; "", $L374 &lt;&gt; "Removed"), N374 + _xlfn.IFS(_xlfn.TEXTAFTER(L374," ",1) = "Days", _xlfn.NUMBERVALUE(_xlfn.TEXTBEFORE(L374," ",1)), L374="18 Months", 547, _xlfn.TEXTAFTER(L374," ",1) = "Years", _xlfn.NUMBERVALUE(_xlfn.TEXTBEFORE(L374," ",1))*365), "")</f>
        <v/>
      </c>
      <c r="P374" s="49"/>
      <c r="Q374" s="15"/>
    </row>
    <row r="375" spans="2:17" ht="16.3" x14ac:dyDescent="0.3">
      <c r="B375" s="15"/>
      <c r="C375" s="15"/>
      <c r="D375" s="15"/>
      <c r="E375" s="15"/>
      <c r="F375" s="22"/>
      <c r="G375" s="26"/>
      <c r="H375" s="15"/>
      <c r="I375" s="15"/>
      <c r="J375" s="16"/>
      <c r="K375" s="16"/>
      <c r="L375" s="16"/>
      <c r="M375" s="16"/>
      <c r="N375" s="27"/>
      <c r="O375" s="48" t="str" cm="1">
        <f t="array" ref="O375" xml:space="preserve"> IF(AND($L375 &lt;&gt; "", $L375 &lt;&gt; "Removed"), N375 + _xlfn.IFS(_xlfn.TEXTAFTER(L375," ",1) = "Days", _xlfn.NUMBERVALUE(_xlfn.TEXTBEFORE(L375," ",1)), L375="18 Months", 547, _xlfn.TEXTAFTER(L375," ",1) = "Years", _xlfn.NUMBERVALUE(_xlfn.TEXTBEFORE(L375," ",1))*365), "")</f>
        <v/>
      </c>
      <c r="P375" s="49"/>
      <c r="Q375" s="15"/>
    </row>
    <row r="376" spans="2:17" ht="16.3" x14ac:dyDescent="0.3">
      <c r="B376" s="15"/>
      <c r="C376" s="15"/>
      <c r="D376" s="15"/>
      <c r="E376" s="15"/>
      <c r="F376" s="22"/>
      <c r="G376" s="26"/>
      <c r="H376" s="15"/>
      <c r="I376" s="15"/>
      <c r="J376" s="16"/>
      <c r="K376" s="16"/>
      <c r="L376" s="16"/>
      <c r="M376" s="16"/>
      <c r="N376" s="27"/>
      <c r="O376" s="48" t="str" cm="1">
        <f t="array" ref="O376" xml:space="preserve"> IF(AND($L376 &lt;&gt; "", $L376 &lt;&gt; "Removed"), N376 + _xlfn.IFS(_xlfn.TEXTAFTER(L376," ",1) = "Days", _xlfn.NUMBERVALUE(_xlfn.TEXTBEFORE(L376," ",1)), L376="18 Months", 547, _xlfn.TEXTAFTER(L376," ",1) = "Years", _xlfn.NUMBERVALUE(_xlfn.TEXTBEFORE(L376," ",1))*365), "")</f>
        <v/>
      </c>
      <c r="P376" s="49"/>
      <c r="Q376" s="15"/>
    </row>
    <row r="377" spans="2:17" ht="16.3" x14ac:dyDescent="0.3">
      <c r="B377" s="15"/>
      <c r="C377" s="15"/>
      <c r="D377" s="15"/>
      <c r="E377" s="15"/>
      <c r="F377" s="22"/>
      <c r="G377" s="26"/>
      <c r="H377" s="15"/>
      <c r="I377" s="15"/>
      <c r="J377" s="16"/>
      <c r="K377" s="16"/>
      <c r="L377" s="16"/>
      <c r="M377" s="16"/>
      <c r="N377" s="27"/>
      <c r="O377" s="48" t="str" cm="1">
        <f t="array" ref="O377" xml:space="preserve"> IF(AND($L377 &lt;&gt; "", $L377 &lt;&gt; "Removed"), N377 + _xlfn.IFS(_xlfn.TEXTAFTER(L377," ",1) = "Days", _xlfn.NUMBERVALUE(_xlfn.TEXTBEFORE(L377," ",1)), L377="18 Months", 547, _xlfn.TEXTAFTER(L377," ",1) = "Years", _xlfn.NUMBERVALUE(_xlfn.TEXTBEFORE(L377," ",1))*365), "")</f>
        <v/>
      </c>
      <c r="P377" s="49"/>
      <c r="Q377" s="15"/>
    </row>
    <row r="378" spans="2:17" ht="16.3" x14ac:dyDescent="0.3">
      <c r="B378" s="15"/>
      <c r="C378" s="15"/>
      <c r="D378" s="15"/>
      <c r="E378" s="15"/>
      <c r="F378" s="22"/>
      <c r="G378" s="26"/>
      <c r="H378" s="15"/>
      <c r="I378" s="15"/>
      <c r="J378" s="16"/>
      <c r="K378" s="16"/>
      <c r="L378" s="16"/>
      <c r="M378" s="16"/>
      <c r="N378" s="27"/>
      <c r="O378" s="48" t="str" cm="1">
        <f t="array" ref="O378" xml:space="preserve"> IF(AND($L378 &lt;&gt; "", $L378 &lt;&gt; "Removed"), N378 + _xlfn.IFS(_xlfn.TEXTAFTER(L378," ",1) = "Days", _xlfn.NUMBERVALUE(_xlfn.TEXTBEFORE(L378," ",1)), L378="18 Months", 547, _xlfn.TEXTAFTER(L378," ",1) = "Years", _xlfn.NUMBERVALUE(_xlfn.TEXTBEFORE(L378," ",1))*365), "")</f>
        <v/>
      </c>
      <c r="P378" s="49"/>
      <c r="Q378" s="15"/>
    </row>
    <row r="379" spans="2:17" ht="16.3" x14ac:dyDescent="0.3">
      <c r="B379" s="15"/>
      <c r="C379" s="15"/>
      <c r="D379" s="15"/>
      <c r="E379" s="15"/>
      <c r="F379" s="22"/>
      <c r="G379" s="26"/>
      <c r="H379" s="15"/>
      <c r="I379" s="15"/>
      <c r="J379" s="16"/>
      <c r="K379" s="16"/>
      <c r="L379" s="16"/>
      <c r="M379" s="16"/>
      <c r="N379" s="27"/>
      <c r="O379" s="48" t="str" cm="1">
        <f t="array" ref="O379" xml:space="preserve"> IF(AND($L379 &lt;&gt; "", $L379 &lt;&gt; "Removed"), N379 + _xlfn.IFS(_xlfn.TEXTAFTER(L379," ",1) = "Days", _xlfn.NUMBERVALUE(_xlfn.TEXTBEFORE(L379," ",1)), L379="18 Months", 547, _xlfn.TEXTAFTER(L379," ",1) = "Years", _xlfn.NUMBERVALUE(_xlfn.TEXTBEFORE(L379," ",1))*365), "")</f>
        <v/>
      </c>
      <c r="P379" s="49"/>
      <c r="Q379" s="15"/>
    </row>
    <row r="380" spans="2:17" ht="16.3" x14ac:dyDescent="0.3">
      <c r="B380" s="15"/>
      <c r="C380" s="15"/>
      <c r="D380" s="15"/>
      <c r="E380" s="15"/>
      <c r="F380" s="22"/>
      <c r="G380" s="26"/>
      <c r="H380" s="15"/>
      <c r="I380" s="15"/>
      <c r="J380" s="16"/>
      <c r="K380" s="16"/>
      <c r="L380" s="16"/>
      <c r="M380" s="16"/>
      <c r="N380" s="27"/>
      <c r="O380" s="48" t="str" cm="1">
        <f t="array" ref="O380" xml:space="preserve"> IF(AND($L380 &lt;&gt; "", $L380 &lt;&gt; "Removed"), N380 + _xlfn.IFS(_xlfn.TEXTAFTER(L380," ",1) = "Days", _xlfn.NUMBERVALUE(_xlfn.TEXTBEFORE(L380," ",1)), L380="18 Months", 547, _xlfn.TEXTAFTER(L380," ",1) = "Years", _xlfn.NUMBERVALUE(_xlfn.TEXTBEFORE(L380," ",1))*365), "")</f>
        <v/>
      </c>
      <c r="P380" s="49"/>
      <c r="Q380" s="15"/>
    </row>
    <row r="381" spans="2:17" ht="16.3" x14ac:dyDescent="0.3">
      <c r="B381" s="15"/>
      <c r="C381" s="15"/>
      <c r="D381" s="15"/>
      <c r="E381" s="15"/>
      <c r="F381" s="22"/>
      <c r="G381" s="26"/>
      <c r="H381" s="15"/>
      <c r="I381" s="15"/>
      <c r="J381" s="16"/>
      <c r="K381" s="16"/>
      <c r="L381" s="16"/>
      <c r="M381" s="16"/>
      <c r="N381" s="27"/>
      <c r="O381" s="48" t="str" cm="1">
        <f t="array" ref="O381" xml:space="preserve"> IF(AND($L381 &lt;&gt; "", $L381 &lt;&gt; "Removed"), N381 + _xlfn.IFS(_xlfn.TEXTAFTER(L381," ",1) = "Days", _xlfn.NUMBERVALUE(_xlfn.TEXTBEFORE(L381," ",1)), L381="18 Months", 547, _xlfn.TEXTAFTER(L381," ",1) = "Years", _xlfn.NUMBERVALUE(_xlfn.TEXTBEFORE(L381," ",1))*365), "")</f>
        <v/>
      </c>
      <c r="P381" s="49"/>
      <c r="Q381" s="15"/>
    </row>
    <row r="382" spans="2:17" ht="16.3" x14ac:dyDescent="0.3">
      <c r="B382" s="15"/>
      <c r="C382" s="15"/>
      <c r="D382" s="15"/>
      <c r="E382" s="15"/>
      <c r="F382" s="22"/>
      <c r="G382" s="26"/>
      <c r="H382" s="15"/>
      <c r="I382" s="15"/>
      <c r="J382" s="16"/>
      <c r="K382" s="16"/>
      <c r="L382" s="16"/>
      <c r="M382" s="16"/>
      <c r="N382" s="27"/>
      <c r="O382" s="48" t="str" cm="1">
        <f t="array" ref="O382" xml:space="preserve"> IF(AND($L382 &lt;&gt; "", $L382 &lt;&gt; "Removed"), N382 + _xlfn.IFS(_xlfn.TEXTAFTER(L382," ",1) = "Days", _xlfn.NUMBERVALUE(_xlfn.TEXTBEFORE(L382," ",1)), L382="18 Months", 547, _xlfn.TEXTAFTER(L382," ",1) = "Years", _xlfn.NUMBERVALUE(_xlfn.TEXTBEFORE(L382," ",1))*365), "")</f>
        <v/>
      </c>
      <c r="P382" s="49"/>
      <c r="Q382" s="15"/>
    </row>
    <row r="383" spans="2:17" ht="16.3" x14ac:dyDescent="0.3">
      <c r="B383" s="15"/>
      <c r="C383" s="15"/>
      <c r="D383" s="15"/>
      <c r="E383" s="15"/>
      <c r="F383" s="22"/>
      <c r="G383" s="26"/>
      <c r="H383" s="15"/>
      <c r="I383" s="15"/>
      <c r="J383" s="16"/>
      <c r="K383" s="16"/>
      <c r="L383" s="16"/>
      <c r="M383" s="16"/>
      <c r="N383" s="27"/>
      <c r="O383" s="48" t="str" cm="1">
        <f t="array" ref="O383" xml:space="preserve"> IF(AND($L383 &lt;&gt; "", $L383 &lt;&gt; "Removed"), N383 + _xlfn.IFS(_xlfn.TEXTAFTER(L383," ",1) = "Days", _xlfn.NUMBERVALUE(_xlfn.TEXTBEFORE(L383," ",1)), L383="18 Months", 547, _xlfn.TEXTAFTER(L383," ",1) = "Years", _xlfn.NUMBERVALUE(_xlfn.TEXTBEFORE(L383," ",1))*365), "")</f>
        <v/>
      </c>
      <c r="P383" s="49"/>
      <c r="Q383" s="15"/>
    </row>
    <row r="384" spans="2:17" ht="16.3" x14ac:dyDescent="0.3">
      <c r="B384" s="15"/>
      <c r="C384" s="15"/>
      <c r="D384" s="15"/>
      <c r="E384" s="15"/>
      <c r="F384" s="22"/>
      <c r="G384" s="26"/>
      <c r="H384" s="15"/>
      <c r="I384" s="15"/>
      <c r="J384" s="16"/>
      <c r="K384" s="16"/>
      <c r="L384" s="16"/>
      <c r="M384" s="16"/>
      <c r="N384" s="27"/>
      <c r="O384" s="48" t="str" cm="1">
        <f t="array" ref="O384" xml:space="preserve"> IF(AND($L384 &lt;&gt; "", $L384 &lt;&gt; "Removed"), N384 + _xlfn.IFS(_xlfn.TEXTAFTER(L384," ",1) = "Days", _xlfn.NUMBERVALUE(_xlfn.TEXTBEFORE(L384," ",1)), L384="18 Months", 547, _xlfn.TEXTAFTER(L384," ",1) = "Years", _xlfn.NUMBERVALUE(_xlfn.TEXTBEFORE(L384," ",1))*365), "")</f>
        <v/>
      </c>
      <c r="P384" s="49"/>
      <c r="Q384" s="15"/>
    </row>
    <row r="385" spans="2:17" ht="16.3" x14ac:dyDescent="0.3">
      <c r="B385" s="15"/>
      <c r="C385" s="15"/>
      <c r="D385" s="15"/>
      <c r="E385" s="15"/>
      <c r="F385" s="22"/>
      <c r="G385" s="26"/>
      <c r="H385" s="15"/>
      <c r="I385" s="15"/>
      <c r="J385" s="16"/>
      <c r="K385" s="16"/>
      <c r="L385" s="16"/>
      <c r="M385" s="16"/>
      <c r="N385" s="27"/>
      <c r="O385" s="48" t="str" cm="1">
        <f t="array" ref="O385" xml:space="preserve"> IF(AND($L385 &lt;&gt; "", $L385 &lt;&gt; "Removed"), N385 + _xlfn.IFS(_xlfn.TEXTAFTER(L385," ",1) = "Days", _xlfn.NUMBERVALUE(_xlfn.TEXTBEFORE(L385," ",1)), L385="18 Months", 547, _xlfn.TEXTAFTER(L385," ",1) = "Years", _xlfn.NUMBERVALUE(_xlfn.TEXTBEFORE(L385," ",1))*365), "")</f>
        <v/>
      </c>
      <c r="P385" s="49"/>
      <c r="Q385" s="15"/>
    </row>
    <row r="386" spans="2:17" ht="16.3" x14ac:dyDescent="0.3">
      <c r="B386" s="15"/>
      <c r="C386" s="15"/>
      <c r="D386" s="15"/>
      <c r="E386" s="15"/>
      <c r="F386" s="22"/>
      <c r="G386" s="26"/>
      <c r="H386" s="15"/>
      <c r="I386" s="15"/>
      <c r="J386" s="16"/>
      <c r="K386" s="16"/>
      <c r="L386" s="16"/>
      <c r="M386" s="16"/>
      <c r="N386" s="27"/>
      <c r="O386" s="48" t="str" cm="1">
        <f t="array" ref="O386" xml:space="preserve"> IF(AND($L386 &lt;&gt; "", $L386 &lt;&gt; "Removed"), N386 + _xlfn.IFS(_xlfn.TEXTAFTER(L386," ",1) = "Days", _xlfn.NUMBERVALUE(_xlfn.TEXTBEFORE(L386," ",1)), L386="18 Months", 547, _xlfn.TEXTAFTER(L386," ",1) = "Years", _xlfn.NUMBERVALUE(_xlfn.TEXTBEFORE(L386," ",1))*365), "")</f>
        <v/>
      </c>
      <c r="P386" s="49"/>
      <c r="Q386" s="15"/>
    </row>
    <row r="387" spans="2:17" ht="16.3" x14ac:dyDescent="0.3">
      <c r="B387" s="15"/>
      <c r="C387" s="15"/>
      <c r="D387" s="15"/>
      <c r="E387" s="15"/>
      <c r="F387" s="22"/>
      <c r="G387" s="26"/>
      <c r="H387" s="15"/>
      <c r="I387" s="15"/>
      <c r="J387" s="16"/>
      <c r="K387" s="16"/>
      <c r="L387" s="16"/>
      <c r="M387" s="16"/>
      <c r="N387" s="27"/>
      <c r="O387" s="48" t="str" cm="1">
        <f t="array" ref="O387" xml:space="preserve"> IF(AND($L387 &lt;&gt; "", $L387 &lt;&gt; "Removed"), N387 + _xlfn.IFS(_xlfn.TEXTAFTER(L387," ",1) = "Days", _xlfn.NUMBERVALUE(_xlfn.TEXTBEFORE(L387," ",1)), L387="18 Months", 547, _xlfn.TEXTAFTER(L387," ",1) = "Years", _xlfn.NUMBERVALUE(_xlfn.TEXTBEFORE(L387," ",1))*365), "")</f>
        <v/>
      </c>
      <c r="P387" s="49"/>
      <c r="Q387" s="15"/>
    </row>
    <row r="388" spans="2:17" ht="16.3" x14ac:dyDescent="0.3">
      <c r="B388" s="15"/>
      <c r="C388" s="15"/>
      <c r="D388" s="15"/>
      <c r="E388" s="15"/>
      <c r="F388" s="22"/>
      <c r="G388" s="26"/>
      <c r="H388" s="15"/>
      <c r="I388" s="15"/>
      <c r="J388" s="16"/>
      <c r="K388" s="16"/>
      <c r="L388" s="16"/>
      <c r="M388" s="16"/>
      <c r="N388" s="27"/>
      <c r="O388" s="48" t="str" cm="1">
        <f t="array" ref="O388" xml:space="preserve"> IF(AND($L388 &lt;&gt; "", $L388 &lt;&gt; "Removed"), N388 + _xlfn.IFS(_xlfn.TEXTAFTER(L388," ",1) = "Days", _xlfn.NUMBERVALUE(_xlfn.TEXTBEFORE(L388," ",1)), L388="18 Months", 547, _xlfn.TEXTAFTER(L388," ",1) = "Years", _xlfn.NUMBERVALUE(_xlfn.TEXTBEFORE(L388," ",1))*365), "")</f>
        <v/>
      </c>
      <c r="P388" s="49"/>
      <c r="Q388" s="15"/>
    </row>
    <row r="389" spans="2:17" ht="16.3" x14ac:dyDescent="0.3">
      <c r="B389" s="15"/>
      <c r="C389" s="15"/>
      <c r="D389" s="15"/>
      <c r="E389" s="15"/>
      <c r="F389" s="22"/>
      <c r="G389" s="26"/>
      <c r="H389" s="15"/>
      <c r="I389" s="15"/>
      <c r="J389" s="16"/>
      <c r="K389" s="16"/>
      <c r="L389" s="16"/>
      <c r="M389" s="16"/>
      <c r="N389" s="27"/>
      <c r="O389" s="48" t="str" cm="1">
        <f t="array" ref="O389" xml:space="preserve"> IF(AND($L389 &lt;&gt; "", $L389 &lt;&gt; "Removed"), N389 + _xlfn.IFS(_xlfn.TEXTAFTER(L389," ",1) = "Days", _xlfn.NUMBERVALUE(_xlfn.TEXTBEFORE(L389," ",1)), L389="18 Months", 547, _xlfn.TEXTAFTER(L389," ",1) = "Years", _xlfn.NUMBERVALUE(_xlfn.TEXTBEFORE(L389," ",1))*365), "")</f>
        <v/>
      </c>
      <c r="P389" s="49"/>
      <c r="Q389" s="15"/>
    </row>
    <row r="390" spans="2:17" ht="16.3" x14ac:dyDescent="0.3">
      <c r="B390" s="15"/>
      <c r="C390" s="15"/>
      <c r="D390" s="15"/>
      <c r="E390" s="15"/>
      <c r="F390" s="22"/>
      <c r="G390" s="26"/>
      <c r="H390" s="15"/>
      <c r="I390" s="15"/>
      <c r="J390" s="16"/>
      <c r="K390" s="16"/>
      <c r="L390" s="16"/>
      <c r="M390" s="16"/>
      <c r="N390" s="27"/>
      <c r="O390" s="48" t="str" cm="1">
        <f t="array" ref="O390" xml:space="preserve"> IF(AND($L390 &lt;&gt; "", $L390 &lt;&gt; "Removed"), N390 + _xlfn.IFS(_xlfn.TEXTAFTER(L390," ",1) = "Days", _xlfn.NUMBERVALUE(_xlfn.TEXTBEFORE(L390," ",1)), L390="18 Months", 547, _xlfn.TEXTAFTER(L390," ",1) = "Years", _xlfn.NUMBERVALUE(_xlfn.TEXTBEFORE(L390," ",1))*365), "")</f>
        <v/>
      </c>
      <c r="P390" s="49"/>
      <c r="Q390" s="15"/>
    </row>
    <row r="391" spans="2:17" ht="16.3" x14ac:dyDescent="0.3">
      <c r="B391" s="15"/>
      <c r="C391" s="15"/>
      <c r="D391" s="15"/>
      <c r="E391" s="15"/>
      <c r="F391" s="22"/>
      <c r="G391" s="26"/>
      <c r="H391" s="15"/>
      <c r="I391" s="15"/>
      <c r="J391" s="16"/>
      <c r="K391" s="16"/>
      <c r="L391" s="16"/>
      <c r="M391" s="16"/>
      <c r="N391" s="27"/>
      <c r="O391" s="48" t="str" cm="1">
        <f t="array" ref="O391" xml:space="preserve"> IF(AND($L391 &lt;&gt; "", $L391 &lt;&gt; "Removed"), N391 + _xlfn.IFS(_xlfn.TEXTAFTER(L391," ",1) = "Days", _xlfn.NUMBERVALUE(_xlfn.TEXTBEFORE(L391," ",1)), L391="18 Months", 547, _xlfn.TEXTAFTER(L391," ",1) = "Years", _xlfn.NUMBERVALUE(_xlfn.TEXTBEFORE(L391," ",1))*365), "")</f>
        <v/>
      </c>
      <c r="P391" s="49"/>
      <c r="Q391" s="15"/>
    </row>
    <row r="392" spans="2:17" ht="16.3" x14ac:dyDescent="0.3">
      <c r="B392" s="15"/>
      <c r="C392" s="15"/>
      <c r="D392" s="15"/>
      <c r="E392" s="15"/>
      <c r="F392" s="22"/>
      <c r="G392" s="26"/>
      <c r="H392" s="15"/>
      <c r="I392" s="15"/>
      <c r="J392" s="16"/>
      <c r="K392" s="16"/>
      <c r="L392" s="16"/>
      <c r="M392" s="16"/>
      <c r="N392" s="27"/>
      <c r="O392" s="48" t="str" cm="1">
        <f t="array" ref="O392" xml:space="preserve"> IF(AND($L392 &lt;&gt; "", $L392 &lt;&gt; "Removed"), N392 + _xlfn.IFS(_xlfn.TEXTAFTER(L392," ",1) = "Days", _xlfn.NUMBERVALUE(_xlfn.TEXTBEFORE(L392," ",1)), L392="18 Months", 547, _xlfn.TEXTAFTER(L392," ",1) = "Years", _xlfn.NUMBERVALUE(_xlfn.TEXTBEFORE(L392," ",1))*365), "")</f>
        <v/>
      </c>
      <c r="P392" s="49"/>
      <c r="Q392" s="15"/>
    </row>
    <row r="393" spans="2:17" ht="16.3" x14ac:dyDescent="0.3">
      <c r="B393" s="15"/>
      <c r="C393" s="15"/>
      <c r="D393" s="15"/>
      <c r="E393" s="15"/>
      <c r="F393" s="22"/>
      <c r="G393" s="26"/>
      <c r="H393" s="15"/>
      <c r="I393" s="15"/>
      <c r="J393" s="16"/>
      <c r="K393" s="16"/>
      <c r="L393" s="16"/>
      <c r="M393" s="16"/>
      <c r="N393" s="27"/>
      <c r="O393" s="48" t="str" cm="1">
        <f t="array" ref="O393" xml:space="preserve"> IF(AND($L393 &lt;&gt; "", $L393 &lt;&gt; "Removed"), N393 + _xlfn.IFS(_xlfn.TEXTAFTER(L393," ",1) = "Days", _xlfn.NUMBERVALUE(_xlfn.TEXTBEFORE(L393," ",1)), L393="18 Months", 547, _xlfn.TEXTAFTER(L393," ",1) = "Years", _xlfn.NUMBERVALUE(_xlfn.TEXTBEFORE(L393," ",1))*365), "")</f>
        <v/>
      </c>
      <c r="P393" s="49"/>
      <c r="Q393" s="15"/>
    </row>
    <row r="394" spans="2:17" ht="16.3" x14ac:dyDescent="0.3">
      <c r="B394" s="15"/>
      <c r="C394" s="15"/>
      <c r="D394" s="15"/>
      <c r="E394" s="15"/>
      <c r="F394" s="22"/>
      <c r="G394" s="26"/>
      <c r="H394" s="15"/>
      <c r="I394" s="15"/>
      <c r="J394" s="16"/>
      <c r="K394" s="16"/>
      <c r="L394" s="16"/>
      <c r="M394" s="16"/>
      <c r="N394" s="27"/>
      <c r="O394" s="48" t="str" cm="1">
        <f t="array" ref="O394" xml:space="preserve"> IF(AND($L394 &lt;&gt; "", $L394 &lt;&gt; "Removed"), N394 + _xlfn.IFS(_xlfn.TEXTAFTER(L394," ",1) = "Days", _xlfn.NUMBERVALUE(_xlfn.TEXTBEFORE(L394," ",1)), L394="18 Months", 547, _xlfn.TEXTAFTER(L394," ",1) = "Years", _xlfn.NUMBERVALUE(_xlfn.TEXTBEFORE(L394," ",1))*365), "")</f>
        <v/>
      </c>
      <c r="P394" s="49"/>
      <c r="Q394" s="15"/>
    </row>
    <row r="395" spans="2:17" ht="16.3" x14ac:dyDescent="0.3">
      <c r="B395" s="15"/>
      <c r="C395" s="15"/>
      <c r="D395" s="15"/>
      <c r="E395" s="15"/>
      <c r="F395" s="22"/>
      <c r="G395" s="26"/>
      <c r="H395" s="15"/>
      <c r="I395" s="15"/>
      <c r="J395" s="16"/>
      <c r="K395" s="16"/>
      <c r="L395" s="16"/>
      <c r="M395" s="16"/>
      <c r="N395" s="27"/>
      <c r="O395" s="48" t="str" cm="1">
        <f t="array" ref="O395" xml:space="preserve"> IF(AND($L395 &lt;&gt; "", $L395 &lt;&gt; "Removed"), N395 + _xlfn.IFS(_xlfn.TEXTAFTER(L395," ",1) = "Days", _xlfn.NUMBERVALUE(_xlfn.TEXTBEFORE(L395," ",1)), L395="18 Months", 547, _xlfn.TEXTAFTER(L395," ",1) = "Years", _xlfn.NUMBERVALUE(_xlfn.TEXTBEFORE(L395," ",1))*365), "")</f>
        <v/>
      </c>
      <c r="P395" s="49"/>
      <c r="Q395" s="15"/>
    </row>
    <row r="396" spans="2:17" ht="16.3" x14ac:dyDescent="0.3">
      <c r="B396" s="15"/>
      <c r="C396" s="15"/>
      <c r="D396" s="15"/>
      <c r="E396" s="15"/>
      <c r="F396" s="22"/>
      <c r="G396" s="26"/>
      <c r="H396" s="15"/>
      <c r="I396" s="15"/>
      <c r="J396" s="16"/>
      <c r="K396" s="16"/>
      <c r="L396" s="16"/>
      <c r="M396" s="16"/>
      <c r="N396" s="27"/>
      <c r="O396" s="48" t="str" cm="1">
        <f t="array" ref="O396" xml:space="preserve"> IF(AND($L396 &lt;&gt; "", $L396 &lt;&gt; "Removed"), N396 + _xlfn.IFS(_xlfn.TEXTAFTER(L396," ",1) = "Days", _xlfn.NUMBERVALUE(_xlfn.TEXTBEFORE(L396," ",1)), L396="18 Months", 547, _xlfn.TEXTAFTER(L396," ",1) = "Years", _xlfn.NUMBERVALUE(_xlfn.TEXTBEFORE(L396," ",1))*365), "")</f>
        <v/>
      </c>
      <c r="P396" s="49"/>
      <c r="Q396" s="15"/>
    </row>
    <row r="397" spans="2:17" ht="16.3" x14ac:dyDescent="0.3">
      <c r="B397" s="15"/>
      <c r="C397" s="15"/>
      <c r="D397" s="15"/>
      <c r="E397" s="15"/>
      <c r="F397" s="22"/>
      <c r="G397" s="26"/>
      <c r="H397" s="15"/>
      <c r="I397" s="15"/>
      <c r="J397" s="16"/>
      <c r="K397" s="16"/>
      <c r="L397" s="16"/>
      <c r="M397" s="16"/>
      <c r="N397" s="27"/>
      <c r="O397" s="48" t="str" cm="1">
        <f t="array" ref="O397" xml:space="preserve"> IF(AND($L397 &lt;&gt; "", $L397 &lt;&gt; "Removed"), N397 + _xlfn.IFS(_xlfn.TEXTAFTER(L397," ",1) = "Days", _xlfn.NUMBERVALUE(_xlfn.TEXTBEFORE(L397," ",1)), L397="18 Months", 547, _xlfn.TEXTAFTER(L397," ",1) = "Years", _xlfn.NUMBERVALUE(_xlfn.TEXTBEFORE(L397," ",1))*365), "")</f>
        <v/>
      </c>
      <c r="P397" s="49"/>
      <c r="Q397" s="15"/>
    </row>
    <row r="398" spans="2:17" ht="16.3" x14ac:dyDescent="0.3">
      <c r="B398" s="15"/>
      <c r="C398" s="15"/>
      <c r="D398" s="15"/>
      <c r="E398" s="15"/>
      <c r="F398" s="22"/>
      <c r="G398" s="26"/>
      <c r="H398" s="15"/>
      <c r="I398" s="15"/>
      <c r="J398" s="16"/>
      <c r="K398" s="16"/>
      <c r="L398" s="16"/>
      <c r="M398" s="16"/>
      <c r="N398" s="27"/>
      <c r="O398" s="48" t="str" cm="1">
        <f t="array" ref="O398" xml:space="preserve"> IF(AND($L398 &lt;&gt; "", $L398 &lt;&gt; "Removed"), N398 + _xlfn.IFS(_xlfn.TEXTAFTER(L398," ",1) = "Days", _xlfn.NUMBERVALUE(_xlfn.TEXTBEFORE(L398," ",1)), L398="18 Months", 547, _xlfn.TEXTAFTER(L398," ",1) = "Years", _xlfn.NUMBERVALUE(_xlfn.TEXTBEFORE(L398," ",1))*365), "")</f>
        <v/>
      </c>
      <c r="P398" s="49"/>
      <c r="Q398" s="15"/>
    </row>
    <row r="399" spans="2:17" ht="16.3" x14ac:dyDescent="0.3">
      <c r="B399" s="15"/>
      <c r="C399" s="15"/>
      <c r="D399" s="15"/>
      <c r="E399" s="15"/>
      <c r="F399" s="22"/>
      <c r="G399" s="26"/>
      <c r="H399" s="15"/>
      <c r="I399" s="15"/>
      <c r="J399" s="16"/>
      <c r="K399" s="16"/>
      <c r="L399" s="16"/>
      <c r="M399" s="16"/>
      <c r="N399" s="27"/>
      <c r="O399" s="48" t="str" cm="1">
        <f t="array" ref="O399" xml:space="preserve"> IF(AND($L399 &lt;&gt; "", $L399 &lt;&gt; "Removed"), N399 + _xlfn.IFS(_xlfn.TEXTAFTER(L399," ",1) = "Days", _xlfn.NUMBERVALUE(_xlfn.TEXTBEFORE(L399," ",1)), L399="18 Months", 547, _xlfn.TEXTAFTER(L399," ",1) = "Years", _xlfn.NUMBERVALUE(_xlfn.TEXTBEFORE(L399," ",1))*365), "")</f>
        <v/>
      </c>
      <c r="P399" s="49"/>
      <c r="Q399" s="15"/>
    </row>
    <row r="400" spans="2:17" ht="16.3" x14ac:dyDescent="0.3">
      <c r="B400" s="15"/>
      <c r="C400" s="15"/>
      <c r="D400" s="15"/>
      <c r="E400" s="15"/>
      <c r="F400" s="22"/>
      <c r="G400" s="26"/>
      <c r="H400" s="15"/>
      <c r="I400" s="15"/>
      <c r="J400" s="16"/>
      <c r="K400" s="16"/>
      <c r="L400" s="16"/>
      <c r="M400" s="16"/>
      <c r="N400" s="27"/>
      <c r="O400" s="48" t="str" cm="1">
        <f t="array" ref="O400" xml:space="preserve"> IF(AND($L400 &lt;&gt; "", $L400 &lt;&gt; "Removed"), N400 + _xlfn.IFS(_xlfn.TEXTAFTER(L400," ",1) = "Days", _xlfn.NUMBERVALUE(_xlfn.TEXTBEFORE(L400," ",1)), L400="18 Months", 547, _xlfn.TEXTAFTER(L400," ",1) = "Years", _xlfn.NUMBERVALUE(_xlfn.TEXTBEFORE(L400," ",1))*365), "")</f>
        <v/>
      </c>
      <c r="P400" s="49"/>
      <c r="Q400" s="15"/>
    </row>
    <row r="401" spans="2:17" ht="16.3" x14ac:dyDescent="0.3">
      <c r="B401" s="15"/>
      <c r="C401" s="15"/>
      <c r="D401" s="15"/>
      <c r="E401" s="15"/>
      <c r="F401" s="22"/>
      <c r="G401" s="26"/>
      <c r="H401" s="15"/>
      <c r="I401" s="15"/>
      <c r="J401" s="16"/>
      <c r="K401" s="16"/>
      <c r="L401" s="16"/>
      <c r="M401" s="16"/>
      <c r="N401" s="27"/>
      <c r="O401" s="48" t="str" cm="1">
        <f t="array" ref="O401" xml:space="preserve"> IF(AND($L401 &lt;&gt; "", $L401 &lt;&gt; "Removed"), N401 + _xlfn.IFS(_xlfn.TEXTAFTER(L401," ",1) = "Days", _xlfn.NUMBERVALUE(_xlfn.TEXTBEFORE(L401," ",1)), L401="18 Months", 547, _xlfn.TEXTAFTER(L401," ",1) = "Years", _xlfn.NUMBERVALUE(_xlfn.TEXTBEFORE(L401," ",1))*365), "")</f>
        <v/>
      </c>
      <c r="P401" s="49"/>
      <c r="Q401" s="15"/>
    </row>
    <row r="402" spans="2:17" ht="16.3" x14ac:dyDescent="0.3">
      <c r="B402" s="15"/>
      <c r="C402" s="15"/>
      <c r="D402" s="15"/>
      <c r="E402" s="15"/>
      <c r="F402" s="22"/>
      <c r="G402" s="26"/>
      <c r="H402" s="15"/>
      <c r="I402" s="15"/>
      <c r="J402" s="16"/>
      <c r="K402" s="16"/>
      <c r="L402" s="16"/>
      <c r="M402" s="16"/>
      <c r="N402" s="27"/>
      <c r="O402" s="48" t="str" cm="1">
        <f t="array" ref="O402" xml:space="preserve"> IF(AND($L402 &lt;&gt; "", $L402 &lt;&gt; "Removed"), N402 + _xlfn.IFS(_xlfn.TEXTAFTER(L402," ",1) = "Days", _xlfn.NUMBERVALUE(_xlfn.TEXTBEFORE(L402," ",1)), L402="18 Months", 547, _xlfn.TEXTAFTER(L402," ",1) = "Years", _xlfn.NUMBERVALUE(_xlfn.TEXTBEFORE(L402," ",1))*365), "")</f>
        <v/>
      </c>
      <c r="P402" s="49"/>
      <c r="Q402" s="15"/>
    </row>
    <row r="403" spans="2:17" ht="16.3" x14ac:dyDescent="0.3">
      <c r="B403" s="15"/>
      <c r="C403" s="15"/>
      <c r="D403" s="15"/>
      <c r="E403" s="15"/>
      <c r="F403" s="22"/>
      <c r="G403" s="26"/>
      <c r="H403" s="15"/>
      <c r="I403" s="15"/>
      <c r="J403" s="16"/>
      <c r="K403" s="16"/>
      <c r="L403" s="16"/>
      <c r="M403" s="16"/>
      <c r="N403" s="27"/>
      <c r="O403" s="48" t="str" cm="1">
        <f t="array" ref="O403" xml:space="preserve"> IF(AND($L403 &lt;&gt; "", $L403 &lt;&gt; "Removed"), N403 + _xlfn.IFS(_xlfn.TEXTAFTER(L403," ",1) = "Days", _xlfn.NUMBERVALUE(_xlfn.TEXTBEFORE(L403," ",1)), L403="18 Months", 547, _xlfn.TEXTAFTER(L403," ",1) = "Years", _xlfn.NUMBERVALUE(_xlfn.TEXTBEFORE(L403," ",1))*365), "")</f>
        <v/>
      </c>
      <c r="P403" s="49"/>
      <c r="Q403" s="15"/>
    </row>
    <row r="404" spans="2:17" ht="16.3" x14ac:dyDescent="0.3">
      <c r="B404" s="15"/>
      <c r="C404" s="15"/>
      <c r="D404" s="15"/>
      <c r="E404" s="15"/>
      <c r="F404" s="22"/>
      <c r="G404" s="26"/>
      <c r="H404" s="15"/>
      <c r="I404" s="15"/>
      <c r="J404" s="16"/>
      <c r="K404" s="16"/>
      <c r="L404" s="16"/>
      <c r="M404" s="16"/>
      <c r="N404" s="27"/>
      <c r="O404" s="48" t="str" cm="1">
        <f t="array" ref="O404" xml:space="preserve"> IF(AND($L404 &lt;&gt; "", $L404 &lt;&gt; "Removed"), N404 + _xlfn.IFS(_xlfn.TEXTAFTER(L404," ",1) = "Days", _xlfn.NUMBERVALUE(_xlfn.TEXTBEFORE(L404," ",1)), L404="18 Months", 547, _xlfn.TEXTAFTER(L404," ",1) = "Years", _xlfn.NUMBERVALUE(_xlfn.TEXTBEFORE(L404," ",1))*365), "")</f>
        <v/>
      </c>
      <c r="P404" s="49"/>
      <c r="Q404" s="15"/>
    </row>
    <row r="405" spans="2:17" ht="16.3" x14ac:dyDescent="0.3">
      <c r="B405" s="15"/>
      <c r="C405" s="15"/>
      <c r="D405" s="15"/>
      <c r="E405" s="15"/>
      <c r="F405" s="22"/>
      <c r="G405" s="26"/>
      <c r="H405" s="15"/>
      <c r="I405" s="15"/>
      <c r="J405" s="16"/>
      <c r="K405" s="16"/>
      <c r="L405" s="16"/>
      <c r="M405" s="16"/>
      <c r="N405" s="27"/>
      <c r="O405" s="48" t="str" cm="1">
        <f t="array" ref="O405" xml:space="preserve"> IF(AND($L405 &lt;&gt; "", $L405 &lt;&gt; "Removed"), N405 + _xlfn.IFS(_xlfn.TEXTAFTER(L405," ",1) = "Days", _xlfn.NUMBERVALUE(_xlfn.TEXTBEFORE(L405," ",1)), L405="18 Months", 547, _xlfn.TEXTAFTER(L405," ",1) = "Years", _xlfn.NUMBERVALUE(_xlfn.TEXTBEFORE(L405," ",1))*365), "")</f>
        <v/>
      </c>
      <c r="P405" s="49"/>
      <c r="Q405" s="15"/>
    </row>
    <row r="406" spans="2:17" ht="16.3" x14ac:dyDescent="0.3">
      <c r="B406" s="15"/>
      <c r="C406" s="15"/>
      <c r="D406" s="15"/>
      <c r="E406" s="15"/>
      <c r="F406" s="22"/>
      <c r="G406" s="26"/>
      <c r="H406" s="15"/>
      <c r="I406" s="15"/>
      <c r="J406" s="16"/>
      <c r="K406" s="16"/>
      <c r="L406" s="16"/>
      <c r="M406" s="16"/>
      <c r="N406" s="27"/>
      <c r="O406" s="48" t="str" cm="1">
        <f t="array" ref="O406" xml:space="preserve"> IF(AND($L406 &lt;&gt; "", $L406 &lt;&gt; "Removed"), N406 + _xlfn.IFS(_xlfn.TEXTAFTER(L406," ",1) = "Days", _xlfn.NUMBERVALUE(_xlfn.TEXTBEFORE(L406," ",1)), L406="18 Months", 547, _xlfn.TEXTAFTER(L406," ",1) = "Years", _xlfn.NUMBERVALUE(_xlfn.TEXTBEFORE(L406," ",1))*365), "")</f>
        <v/>
      </c>
      <c r="P406" s="49"/>
      <c r="Q406" s="15"/>
    </row>
    <row r="407" spans="2:17" ht="16.3" x14ac:dyDescent="0.3">
      <c r="B407" s="15"/>
      <c r="C407" s="15"/>
      <c r="D407" s="15"/>
      <c r="E407" s="15"/>
      <c r="F407" s="22"/>
      <c r="G407" s="26"/>
      <c r="H407" s="15"/>
      <c r="I407" s="15"/>
      <c r="J407" s="16"/>
      <c r="K407" s="16"/>
      <c r="L407" s="16"/>
      <c r="M407" s="16"/>
      <c r="N407" s="27"/>
      <c r="O407" s="48" t="str" cm="1">
        <f t="array" ref="O407" xml:space="preserve"> IF(AND($L407 &lt;&gt; "", $L407 &lt;&gt; "Removed"), N407 + _xlfn.IFS(_xlfn.TEXTAFTER(L407," ",1) = "Days", _xlfn.NUMBERVALUE(_xlfn.TEXTBEFORE(L407," ",1)), L407="18 Months", 547, _xlfn.TEXTAFTER(L407," ",1) = "Years", _xlfn.NUMBERVALUE(_xlfn.TEXTBEFORE(L407," ",1))*365), "")</f>
        <v/>
      </c>
      <c r="P407" s="49"/>
      <c r="Q407" s="15"/>
    </row>
    <row r="408" spans="2:17" ht="16.3" x14ac:dyDescent="0.3">
      <c r="B408" s="15"/>
      <c r="C408" s="15"/>
      <c r="D408" s="15"/>
      <c r="E408" s="15"/>
      <c r="F408" s="22"/>
      <c r="G408" s="26"/>
      <c r="H408" s="15"/>
      <c r="I408" s="15"/>
      <c r="J408" s="16"/>
      <c r="K408" s="16"/>
      <c r="L408" s="16"/>
      <c r="M408" s="16"/>
      <c r="N408" s="27"/>
      <c r="O408" s="48" t="str" cm="1">
        <f t="array" ref="O408" xml:space="preserve"> IF(AND($L408 &lt;&gt; "", $L408 &lt;&gt; "Removed"), N408 + _xlfn.IFS(_xlfn.TEXTAFTER(L408," ",1) = "Days", _xlfn.NUMBERVALUE(_xlfn.TEXTBEFORE(L408," ",1)), L408="18 Months", 547, _xlfn.TEXTAFTER(L408," ",1) = "Years", _xlfn.NUMBERVALUE(_xlfn.TEXTBEFORE(L408," ",1))*365), "")</f>
        <v/>
      </c>
      <c r="P408" s="49"/>
      <c r="Q408" s="15"/>
    </row>
    <row r="409" spans="2:17" ht="16.3" x14ac:dyDescent="0.3">
      <c r="B409" s="15"/>
      <c r="C409" s="15"/>
      <c r="D409" s="15"/>
      <c r="E409" s="15"/>
      <c r="F409" s="22"/>
      <c r="G409" s="26"/>
      <c r="H409" s="15"/>
      <c r="I409" s="15"/>
      <c r="J409" s="16"/>
      <c r="K409" s="16"/>
      <c r="L409" s="16"/>
      <c r="M409" s="16"/>
      <c r="N409" s="27"/>
      <c r="O409" s="48" t="str" cm="1">
        <f t="array" ref="O409" xml:space="preserve"> IF(AND($L409 &lt;&gt; "", $L409 &lt;&gt; "Removed"), N409 + _xlfn.IFS(_xlfn.TEXTAFTER(L409," ",1) = "Days", _xlfn.NUMBERVALUE(_xlfn.TEXTBEFORE(L409," ",1)), L409="18 Months", 547, _xlfn.TEXTAFTER(L409," ",1) = "Years", _xlfn.NUMBERVALUE(_xlfn.TEXTBEFORE(L409," ",1))*365), "")</f>
        <v/>
      </c>
      <c r="P409" s="49"/>
      <c r="Q409" s="15"/>
    </row>
    <row r="410" spans="2:17" ht="16.3" x14ac:dyDescent="0.25">
      <c r="O410" s="48" t="str" cm="1">
        <f t="array" ref="O410" xml:space="preserve"> IF(AND($L410 &lt;&gt; "", $L410 &lt;&gt; "Removed"), N410 + _xlfn.IFS(_xlfn.TEXTAFTER(L410," ",1) = "Days", _xlfn.NUMBERVALUE(_xlfn.TEXTBEFORE(L410," ",1)), L410="18 Months", 547, _xlfn.TEXTAFTER(L410," ",1) = "Years", _xlfn.NUMBERVALUE(_xlfn.TEXTBEFORE(L410," ",1))*365), "")</f>
        <v/>
      </c>
    </row>
    <row r="411" spans="2:17" ht="16.3" x14ac:dyDescent="0.25">
      <c r="O411" s="48" t="str" cm="1">
        <f t="array" ref="O411" xml:space="preserve"> IF(AND($L411 &lt;&gt; "", $L411 &lt;&gt; "Removed"), N411 + _xlfn.IFS(_xlfn.TEXTAFTER(L411," ",1) = "Days", _xlfn.NUMBERVALUE(_xlfn.TEXTBEFORE(L411," ",1)), L411="18 Months", 547, _xlfn.TEXTAFTER(L411," ",1) = "Years", _xlfn.NUMBERVALUE(_xlfn.TEXTBEFORE(L411," ",1))*365), "")</f>
        <v/>
      </c>
    </row>
    <row r="412" spans="2:17" ht="16.3" x14ac:dyDescent="0.25">
      <c r="O412" s="48" t="str" cm="1">
        <f t="array" ref="O412" xml:space="preserve"> IF(AND($L412 &lt;&gt; "", $L412 &lt;&gt; "Removed"), N412 + _xlfn.IFS(_xlfn.TEXTAFTER(L412," ",1) = "Days", _xlfn.NUMBERVALUE(_xlfn.TEXTBEFORE(L412," ",1)), L412="18 Months", 547, _xlfn.TEXTAFTER(L412," ",1) = "Years", _xlfn.NUMBERVALUE(_xlfn.TEXTBEFORE(L412," ",1))*365), "")</f>
        <v/>
      </c>
    </row>
    <row r="413" spans="2:17" ht="16.3" x14ac:dyDescent="0.25">
      <c r="O413" s="48" t="str" cm="1">
        <f t="array" ref="O413" xml:space="preserve"> IF(AND($L413 &lt;&gt; "", $L413 &lt;&gt; "Removed"), N413 + _xlfn.IFS(_xlfn.TEXTAFTER(L413," ",1) = "Days", _xlfn.NUMBERVALUE(_xlfn.TEXTBEFORE(L413," ",1)), L413="18 Months", 547, _xlfn.TEXTAFTER(L413," ",1) = "Years", _xlfn.NUMBERVALUE(_xlfn.TEXTBEFORE(L413," ",1))*365), "")</f>
        <v/>
      </c>
    </row>
    <row r="414" spans="2:17" ht="16.3" x14ac:dyDescent="0.25">
      <c r="O414" s="48" t="str" cm="1">
        <f t="array" ref="O414" xml:space="preserve"> IF(AND($L414 &lt;&gt; "", $L414 &lt;&gt; "Removed"), N414 + _xlfn.IFS(_xlfn.TEXTAFTER(L414," ",1) = "Days", _xlfn.NUMBERVALUE(_xlfn.TEXTBEFORE(L414," ",1)), L414="18 Months", 547, _xlfn.TEXTAFTER(L414," ",1) = "Years", _xlfn.NUMBERVALUE(_xlfn.TEXTBEFORE(L414," ",1))*365), "")</f>
        <v/>
      </c>
    </row>
    <row r="415" spans="2:17" ht="16.3" x14ac:dyDescent="0.25">
      <c r="O415" s="48" t="str" cm="1">
        <f t="array" ref="O415" xml:space="preserve"> IF(AND($L415 &lt;&gt; "", $L415 &lt;&gt; "Removed"), N415 + _xlfn.IFS(_xlfn.TEXTAFTER(L415," ",1) = "Days", _xlfn.NUMBERVALUE(_xlfn.TEXTBEFORE(L415," ",1)), L415="18 Months", 547, _xlfn.TEXTAFTER(L415," ",1) = "Years", _xlfn.NUMBERVALUE(_xlfn.TEXTBEFORE(L415," ",1))*365), "")</f>
        <v/>
      </c>
    </row>
    <row r="416" spans="2:17" ht="16.3" x14ac:dyDescent="0.25">
      <c r="O416" s="48" t="str" cm="1">
        <f t="array" ref="O416" xml:space="preserve"> IF(AND($L416 &lt;&gt; "", $L416 &lt;&gt; "Removed"), N416 + _xlfn.IFS(_xlfn.TEXTAFTER(L416," ",1) = "Days", _xlfn.NUMBERVALUE(_xlfn.TEXTBEFORE(L416," ",1)), L416="18 Months", 547, _xlfn.TEXTAFTER(L416," ",1) = "Years", _xlfn.NUMBERVALUE(_xlfn.TEXTBEFORE(L416," ",1))*365), "")</f>
        <v/>
      </c>
    </row>
    <row r="417" spans="15:15" ht="16.3" x14ac:dyDescent="0.25">
      <c r="O417" s="48" t="str" cm="1">
        <f t="array" ref="O417" xml:space="preserve"> IF(AND($L417 &lt;&gt; "", $L417 &lt;&gt; "Removed"), N417 + _xlfn.IFS(_xlfn.TEXTAFTER(L417," ",1) = "Days", _xlfn.NUMBERVALUE(_xlfn.TEXTBEFORE(L417," ",1)), L417="18 Months", 547, _xlfn.TEXTAFTER(L417," ",1) = "Years", _xlfn.NUMBERVALUE(_xlfn.TEXTBEFORE(L417," ",1))*365), "")</f>
        <v/>
      </c>
    </row>
    <row r="418" spans="15:15" ht="16.3" x14ac:dyDescent="0.25">
      <c r="O418" s="48" t="str" cm="1">
        <f t="array" ref="O418" xml:space="preserve"> IF(AND($L418 &lt;&gt; "", $L418 &lt;&gt; "Removed"), N418 + _xlfn.IFS(_xlfn.TEXTAFTER(L418," ",1) = "Days", _xlfn.NUMBERVALUE(_xlfn.TEXTBEFORE(L418," ",1)), L418="18 Months", 547, _xlfn.TEXTAFTER(L418," ",1) = "Years", _xlfn.NUMBERVALUE(_xlfn.TEXTBEFORE(L418," ",1))*365), "")</f>
        <v/>
      </c>
    </row>
    <row r="419" spans="15:15" ht="16.3" x14ac:dyDescent="0.25">
      <c r="O419" s="48" t="str" cm="1">
        <f t="array" ref="O419" xml:space="preserve"> IF(AND($L419 &lt;&gt; "", $L419 &lt;&gt; "Removed"), N419 + _xlfn.IFS(_xlfn.TEXTAFTER(L419," ",1) = "Days", _xlfn.NUMBERVALUE(_xlfn.TEXTBEFORE(L419," ",1)), L419="18 Months", 547, _xlfn.TEXTAFTER(L419," ",1) = "Years", _xlfn.NUMBERVALUE(_xlfn.TEXTBEFORE(L419," ",1))*365), "")</f>
        <v/>
      </c>
    </row>
    <row r="420" spans="15:15" ht="16.3" x14ac:dyDescent="0.25">
      <c r="O420" s="48" t="str" cm="1">
        <f t="array" ref="O420" xml:space="preserve"> IF(AND($L420 &lt;&gt; "", $L420 &lt;&gt; "Removed"), N420 + _xlfn.IFS(_xlfn.TEXTAFTER(L420," ",1) = "Days", _xlfn.NUMBERVALUE(_xlfn.TEXTBEFORE(L420," ",1)), L420="18 Months", 547, _xlfn.TEXTAFTER(L420," ",1) = "Years", _xlfn.NUMBERVALUE(_xlfn.TEXTBEFORE(L420," ",1))*365), "")</f>
        <v/>
      </c>
    </row>
    <row r="421" spans="15:15" ht="16.3" x14ac:dyDescent="0.25">
      <c r="O421" s="48" t="str" cm="1">
        <f t="array" ref="O421" xml:space="preserve"> IF(AND($L421 &lt;&gt; "", $L421 &lt;&gt; "Removed"), N421 + _xlfn.IFS(_xlfn.TEXTAFTER(L421," ",1) = "Days", _xlfn.NUMBERVALUE(_xlfn.TEXTBEFORE(L421," ",1)), L421="18 Months", 547, _xlfn.TEXTAFTER(L421," ",1) = "Years", _xlfn.NUMBERVALUE(_xlfn.TEXTBEFORE(L421," ",1))*365), "")</f>
        <v/>
      </c>
    </row>
    <row r="422" spans="15:15" ht="16.3" x14ac:dyDescent="0.25">
      <c r="O422" s="48" t="str" cm="1">
        <f t="array" ref="O422" xml:space="preserve"> IF(AND($L422 &lt;&gt; "", $L422 &lt;&gt; "Removed"), N422 + _xlfn.IFS(_xlfn.TEXTAFTER(L422," ",1) = "Days", _xlfn.NUMBERVALUE(_xlfn.TEXTBEFORE(L422," ",1)), L422="18 Months", 547, _xlfn.TEXTAFTER(L422," ",1) = "Years", _xlfn.NUMBERVALUE(_xlfn.TEXTBEFORE(L422," ",1))*365), "")</f>
        <v/>
      </c>
    </row>
    <row r="423" spans="15:15" ht="16.3" x14ac:dyDescent="0.25">
      <c r="O423" s="48" t="str" cm="1">
        <f t="array" ref="O423" xml:space="preserve"> IF(AND($L423 &lt;&gt; "", $L423 &lt;&gt; "Removed"), N423 + _xlfn.IFS(_xlfn.TEXTAFTER(L423," ",1) = "Days", _xlfn.NUMBERVALUE(_xlfn.TEXTBEFORE(L423," ",1)), L423="18 Months", 547, _xlfn.TEXTAFTER(L423," ",1) = "Years", _xlfn.NUMBERVALUE(_xlfn.TEXTBEFORE(L423," ",1))*365), "")</f>
        <v/>
      </c>
    </row>
    <row r="424" spans="15:15" ht="16.3" x14ac:dyDescent="0.25">
      <c r="O424" s="48" t="str" cm="1">
        <f t="array" ref="O424" xml:space="preserve"> IF(AND($L424 &lt;&gt; "", $L424 &lt;&gt; "Removed"), N424 + _xlfn.IFS(_xlfn.TEXTAFTER(L424," ",1) = "Days", _xlfn.NUMBERVALUE(_xlfn.TEXTBEFORE(L424," ",1)), L424="18 Months", 547, _xlfn.TEXTAFTER(L424," ",1) = "Years", _xlfn.NUMBERVALUE(_xlfn.TEXTBEFORE(L424," ",1))*365), "")</f>
        <v/>
      </c>
    </row>
    <row r="425" spans="15:15" ht="16.3" x14ac:dyDescent="0.25">
      <c r="O425" s="48" t="str" cm="1">
        <f t="array" ref="O425" xml:space="preserve"> IF(AND($L425 &lt;&gt; "", $L425 &lt;&gt; "Removed"), N425 + _xlfn.IFS(_xlfn.TEXTAFTER(L425," ",1) = "Days", _xlfn.NUMBERVALUE(_xlfn.TEXTBEFORE(L425," ",1)), L425="18 Months", 547, _xlfn.TEXTAFTER(L425," ",1) = "Years", _xlfn.NUMBERVALUE(_xlfn.TEXTBEFORE(L425," ",1))*365), "")</f>
        <v/>
      </c>
    </row>
    <row r="426" spans="15:15" ht="16.3" x14ac:dyDescent="0.25">
      <c r="O426" s="48" t="str" cm="1">
        <f t="array" ref="O426" xml:space="preserve"> IF(AND($L426 &lt;&gt; "", $L426 &lt;&gt; "Removed"), N426 + _xlfn.IFS(_xlfn.TEXTAFTER(L426," ",1) = "Days", _xlfn.NUMBERVALUE(_xlfn.TEXTBEFORE(L426," ",1)), L426="18 Months", 547, _xlfn.TEXTAFTER(L426," ",1) = "Years", _xlfn.NUMBERVALUE(_xlfn.TEXTBEFORE(L426," ",1))*365), "")</f>
        <v/>
      </c>
    </row>
    <row r="427" spans="15:15" ht="16.3" x14ac:dyDescent="0.25">
      <c r="O427" s="48" t="str" cm="1">
        <f t="array" ref="O427" xml:space="preserve"> IF(AND($L427 &lt;&gt; "", $L427 &lt;&gt; "Removed"), N427 + _xlfn.IFS(_xlfn.TEXTAFTER(L427," ",1) = "Days", _xlfn.NUMBERVALUE(_xlfn.TEXTBEFORE(L427," ",1)), L427="18 Months", 547, _xlfn.TEXTAFTER(L427," ",1) = "Years", _xlfn.NUMBERVALUE(_xlfn.TEXTBEFORE(L427," ",1))*365), "")</f>
        <v/>
      </c>
    </row>
    <row r="428" spans="15:15" ht="16.3" x14ac:dyDescent="0.25">
      <c r="O428" s="48" t="str" cm="1">
        <f t="array" ref="O428" xml:space="preserve"> IF(AND($L428 &lt;&gt; "", $L428 &lt;&gt; "Removed"), N428 + _xlfn.IFS(_xlfn.TEXTAFTER(L428," ",1) = "Days", _xlfn.NUMBERVALUE(_xlfn.TEXTBEFORE(L428," ",1)), L428="18 Months", 547, _xlfn.TEXTAFTER(L428," ",1) = "Years", _xlfn.NUMBERVALUE(_xlfn.TEXTBEFORE(L428," ",1))*365), "")</f>
        <v/>
      </c>
    </row>
    <row r="429" spans="15:15" ht="16.3" x14ac:dyDescent="0.25">
      <c r="O429" s="48" t="str" cm="1">
        <f t="array" ref="O429" xml:space="preserve"> IF(AND($L429 &lt;&gt; "", $L429 &lt;&gt; "Removed"), N429 + _xlfn.IFS(_xlfn.TEXTAFTER(L429," ",1) = "Days", _xlfn.NUMBERVALUE(_xlfn.TEXTBEFORE(L429," ",1)), L429="18 Months", 547, _xlfn.TEXTAFTER(L429," ",1) = "Years", _xlfn.NUMBERVALUE(_xlfn.TEXTBEFORE(L429," ",1))*365), "")</f>
        <v/>
      </c>
    </row>
    <row r="430" spans="15:15" ht="16.3" x14ac:dyDescent="0.25">
      <c r="O430" s="48" t="str" cm="1">
        <f t="array" ref="O430" xml:space="preserve"> IF(AND($L430 &lt;&gt; "", $L430 &lt;&gt; "Removed"), N430 + _xlfn.IFS(_xlfn.TEXTAFTER(L430," ",1) = "Days", _xlfn.NUMBERVALUE(_xlfn.TEXTBEFORE(L430," ",1)), L430="18 Months", 547, _xlfn.TEXTAFTER(L430," ",1) = "Years", _xlfn.NUMBERVALUE(_xlfn.TEXTBEFORE(L430," ",1))*365), "")</f>
        <v/>
      </c>
    </row>
    <row r="431" spans="15:15" ht="16.3" x14ac:dyDescent="0.25">
      <c r="O431" s="48" t="str" cm="1">
        <f t="array" ref="O431" xml:space="preserve"> IF(AND($L431 &lt;&gt; "", $L431 &lt;&gt; "Removed"), N431 + _xlfn.IFS(_xlfn.TEXTAFTER(L431," ",1) = "Days", _xlfn.NUMBERVALUE(_xlfn.TEXTBEFORE(L431," ",1)), L431="18 Months", 547, _xlfn.TEXTAFTER(L431," ",1) = "Years", _xlfn.NUMBERVALUE(_xlfn.TEXTBEFORE(L431," ",1))*365), "")</f>
        <v/>
      </c>
    </row>
    <row r="432" spans="15:15" ht="16.3" x14ac:dyDescent="0.25">
      <c r="O432" s="48" t="str" cm="1">
        <f t="array" ref="O432" xml:space="preserve"> IF(AND($L432 &lt;&gt; "", $L432 &lt;&gt; "Removed"), N432 + _xlfn.IFS(_xlfn.TEXTAFTER(L432," ",1) = "Days", _xlfn.NUMBERVALUE(_xlfn.TEXTBEFORE(L432," ",1)), L432="18 Months", 547, _xlfn.TEXTAFTER(L432," ",1) = "Years", _xlfn.NUMBERVALUE(_xlfn.TEXTBEFORE(L432," ",1))*365), "")</f>
        <v/>
      </c>
    </row>
    <row r="433" spans="15:15" ht="16.3" x14ac:dyDescent="0.25">
      <c r="O433" s="48" t="str" cm="1">
        <f t="array" ref="O433" xml:space="preserve"> IF(AND($L433 &lt;&gt; "", $L433 &lt;&gt; "Removed"), N433 + _xlfn.IFS(_xlfn.TEXTAFTER(L433," ",1) = "Days", _xlfn.NUMBERVALUE(_xlfn.TEXTBEFORE(L433," ",1)), L433="18 Months", 547, _xlfn.TEXTAFTER(L433," ",1) = "Years", _xlfn.NUMBERVALUE(_xlfn.TEXTBEFORE(L433," ",1))*365), "")</f>
        <v/>
      </c>
    </row>
    <row r="434" spans="15:15" ht="16.3" x14ac:dyDescent="0.25">
      <c r="O434" s="48" t="str" cm="1">
        <f t="array" ref="O434" xml:space="preserve"> IF(AND($L434 &lt;&gt; "", $L434 &lt;&gt; "Removed"), N434 + _xlfn.IFS(_xlfn.TEXTAFTER(L434," ",1) = "Days", _xlfn.NUMBERVALUE(_xlfn.TEXTBEFORE(L434," ",1)), L434="18 Months", 547, _xlfn.TEXTAFTER(L434," ",1) = "Years", _xlfn.NUMBERVALUE(_xlfn.TEXTBEFORE(L434," ",1))*365), "")</f>
        <v/>
      </c>
    </row>
    <row r="435" spans="15:15" ht="16.3" x14ac:dyDescent="0.25">
      <c r="O435" s="48" t="str" cm="1">
        <f t="array" ref="O435" xml:space="preserve"> IF(AND($L435 &lt;&gt; "", $L435 &lt;&gt; "Removed"), N435 + _xlfn.IFS(_xlfn.TEXTAFTER(L435," ",1) = "Days", _xlfn.NUMBERVALUE(_xlfn.TEXTBEFORE(L435," ",1)), L435="18 Months", 547, _xlfn.TEXTAFTER(L435," ",1) = "Years", _xlfn.NUMBERVALUE(_xlfn.TEXTBEFORE(L435," ",1))*365), "")</f>
        <v/>
      </c>
    </row>
    <row r="436" spans="15:15" ht="16.3" x14ac:dyDescent="0.25">
      <c r="O436" s="48" t="str" cm="1">
        <f t="array" ref="O436" xml:space="preserve"> IF(AND($L436 &lt;&gt; "", $L436 &lt;&gt; "Removed"), N436 + _xlfn.IFS(_xlfn.TEXTAFTER(L436," ",1) = "Days", _xlfn.NUMBERVALUE(_xlfn.TEXTBEFORE(L436," ",1)), L436="18 Months", 547, _xlfn.TEXTAFTER(L436," ",1) = "Years", _xlfn.NUMBERVALUE(_xlfn.TEXTBEFORE(L436," ",1))*365), "")</f>
        <v/>
      </c>
    </row>
    <row r="437" spans="15:15" ht="16.3" x14ac:dyDescent="0.25">
      <c r="O437" s="48" t="str" cm="1">
        <f t="array" ref="O437" xml:space="preserve"> IF(AND($L437 &lt;&gt; "", $L437 &lt;&gt; "Removed"), N437 + _xlfn.IFS(_xlfn.TEXTAFTER(L437," ",1) = "Days", _xlfn.NUMBERVALUE(_xlfn.TEXTBEFORE(L437," ",1)), L437="18 Months", 547, _xlfn.TEXTAFTER(L437," ",1) = "Years", _xlfn.NUMBERVALUE(_xlfn.TEXTBEFORE(L437," ",1))*365), "")</f>
        <v/>
      </c>
    </row>
    <row r="438" spans="15:15" ht="16.3" x14ac:dyDescent="0.25">
      <c r="O438" s="48" t="str" cm="1">
        <f t="array" ref="O438" xml:space="preserve"> IF(AND($L438 &lt;&gt; "", $L438 &lt;&gt; "Removed"), N438 + _xlfn.IFS(_xlfn.TEXTAFTER(L438," ",1) = "Days", _xlfn.NUMBERVALUE(_xlfn.TEXTBEFORE(L438," ",1)), L438="18 Months", 547, _xlfn.TEXTAFTER(L438," ",1) = "Years", _xlfn.NUMBERVALUE(_xlfn.TEXTBEFORE(L438," ",1))*365), "")</f>
        <v/>
      </c>
    </row>
    <row r="439" spans="15:15" ht="16.3" x14ac:dyDescent="0.25">
      <c r="O439" s="48" t="str" cm="1">
        <f t="array" ref="O439" xml:space="preserve"> IF(AND($L439 &lt;&gt; "", $L439 &lt;&gt; "Removed"), N439 + _xlfn.IFS(_xlfn.TEXTAFTER(L439," ",1) = "Days", _xlfn.NUMBERVALUE(_xlfn.TEXTBEFORE(L439," ",1)), L439="18 Months", 547, _xlfn.TEXTAFTER(L439," ",1) = "Years", _xlfn.NUMBERVALUE(_xlfn.TEXTBEFORE(L439," ",1))*365), "")</f>
        <v/>
      </c>
    </row>
    <row r="440" spans="15:15" ht="16.3" x14ac:dyDescent="0.25">
      <c r="O440" s="48" t="str" cm="1">
        <f t="array" ref="O440" xml:space="preserve"> IF(AND($L440 &lt;&gt; "", $L440 &lt;&gt; "Removed"), N440 + _xlfn.IFS(_xlfn.TEXTAFTER(L440," ",1) = "Days", _xlfn.NUMBERVALUE(_xlfn.TEXTBEFORE(L440," ",1)), L440="18 Months", 547, _xlfn.TEXTAFTER(L440," ",1) = "Years", _xlfn.NUMBERVALUE(_xlfn.TEXTBEFORE(L440," ",1))*365), "")</f>
        <v/>
      </c>
    </row>
    <row r="441" spans="15:15" ht="16.3" x14ac:dyDescent="0.25">
      <c r="O441" s="48" t="str" cm="1">
        <f t="array" ref="O441" xml:space="preserve"> IF(AND($L441 &lt;&gt; "", $L441 &lt;&gt; "Removed"), N441 + _xlfn.IFS(_xlfn.TEXTAFTER(L441," ",1) = "Days", _xlfn.NUMBERVALUE(_xlfn.TEXTBEFORE(L441," ",1)), L441="18 Months", 547, _xlfn.TEXTAFTER(L441," ",1) = "Years", _xlfn.NUMBERVALUE(_xlfn.TEXTBEFORE(L441," ",1))*365), "")</f>
        <v/>
      </c>
    </row>
    <row r="442" spans="15:15" ht="16.3" x14ac:dyDescent="0.25">
      <c r="O442" s="48" t="str" cm="1">
        <f t="array" ref="O442" xml:space="preserve"> IF(AND($L442 &lt;&gt; "", $L442 &lt;&gt; "Removed"), N442 + _xlfn.IFS(_xlfn.TEXTAFTER(L442," ",1) = "Days", _xlfn.NUMBERVALUE(_xlfn.TEXTBEFORE(L442," ",1)), L442="18 Months", 547, _xlfn.TEXTAFTER(L442," ",1) = "Years", _xlfn.NUMBERVALUE(_xlfn.TEXTBEFORE(L442," ",1))*365), "")</f>
        <v/>
      </c>
    </row>
    <row r="443" spans="15:15" ht="16.3" x14ac:dyDescent="0.25">
      <c r="O443" s="48" t="str" cm="1">
        <f t="array" ref="O443" xml:space="preserve"> IF(AND($L443 &lt;&gt; "", $L443 &lt;&gt; "Removed"), N443 + _xlfn.IFS(_xlfn.TEXTAFTER(L443," ",1) = "Days", _xlfn.NUMBERVALUE(_xlfn.TEXTBEFORE(L443," ",1)), L443="18 Months", 547, _xlfn.TEXTAFTER(L443," ",1) = "Years", _xlfn.NUMBERVALUE(_xlfn.TEXTBEFORE(L443," ",1))*365), "")</f>
        <v/>
      </c>
    </row>
    <row r="444" spans="15:15" ht="16.3" x14ac:dyDescent="0.25">
      <c r="O444" s="48" t="str" cm="1">
        <f t="array" ref="O444" xml:space="preserve"> IF(AND($L444 &lt;&gt; "", $L444 &lt;&gt; "Removed"), N444 + _xlfn.IFS(_xlfn.TEXTAFTER(L444," ",1) = "Days", _xlfn.NUMBERVALUE(_xlfn.TEXTBEFORE(L444," ",1)), L444="18 Months", 547, _xlfn.TEXTAFTER(L444," ",1) = "Years", _xlfn.NUMBERVALUE(_xlfn.TEXTBEFORE(L444," ",1))*365), "")</f>
        <v/>
      </c>
    </row>
    <row r="445" spans="15:15" ht="16.3" x14ac:dyDescent="0.25">
      <c r="O445" s="48" t="str" cm="1">
        <f t="array" ref="O445" xml:space="preserve"> IF(AND($L445 &lt;&gt; "", $L445 &lt;&gt; "Removed"), N445 + _xlfn.IFS(_xlfn.TEXTAFTER(L445," ",1) = "Days", _xlfn.NUMBERVALUE(_xlfn.TEXTBEFORE(L445," ",1)), L445="18 Months", 547, _xlfn.TEXTAFTER(L445," ",1) = "Years", _xlfn.NUMBERVALUE(_xlfn.TEXTBEFORE(L445," ",1))*365), "")</f>
        <v/>
      </c>
    </row>
    <row r="446" spans="15:15" ht="16.3" x14ac:dyDescent="0.25">
      <c r="O446" s="48" t="str" cm="1">
        <f t="array" ref="O446" xml:space="preserve"> IF(AND($L446 &lt;&gt; "", $L446 &lt;&gt; "Removed"), N446 + _xlfn.IFS(_xlfn.TEXTAFTER(L446," ",1) = "Days", _xlfn.NUMBERVALUE(_xlfn.TEXTBEFORE(L446," ",1)), L446="18 Months", 547, _xlfn.TEXTAFTER(L446," ",1) = "Years", _xlfn.NUMBERVALUE(_xlfn.TEXTBEFORE(L446," ",1))*365), "")</f>
        <v/>
      </c>
    </row>
    <row r="447" spans="15:15" ht="16.3" x14ac:dyDescent="0.25">
      <c r="O447" s="48" t="str" cm="1">
        <f t="array" ref="O447" xml:space="preserve"> IF(AND($L447 &lt;&gt; "", $L447 &lt;&gt; "Removed"), N447 + _xlfn.IFS(_xlfn.TEXTAFTER(L447," ",1) = "Days", _xlfn.NUMBERVALUE(_xlfn.TEXTBEFORE(L447," ",1)), L447="18 Months", 547, _xlfn.TEXTAFTER(L447," ",1) = "Years", _xlfn.NUMBERVALUE(_xlfn.TEXTBEFORE(L447," ",1))*365), "")</f>
        <v/>
      </c>
    </row>
    <row r="448" spans="15:15" ht="16.3" x14ac:dyDescent="0.25">
      <c r="O448" s="48" t="str" cm="1">
        <f t="array" ref="O448" xml:space="preserve"> IF(AND($L448 &lt;&gt; "", $L448 &lt;&gt; "Removed"), N448 + _xlfn.IFS(_xlfn.TEXTAFTER(L448," ",1) = "Days", _xlfn.NUMBERVALUE(_xlfn.TEXTBEFORE(L448," ",1)), L448="18 Months", 547, _xlfn.TEXTAFTER(L448," ",1) = "Years", _xlfn.NUMBERVALUE(_xlfn.TEXTBEFORE(L448," ",1))*365), "")</f>
        <v/>
      </c>
    </row>
    <row r="449" spans="15:15" ht="16.3" x14ac:dyDescent="0.25">
      <c r="O449" s="48" t="str" cm="1">
        <f t="array" ref="O449" xml:space="preserve"> IF(AND($L449 &lt;&gt; "", $L449 &lt;&gt; "Removed"), N449 + _xlfn.IFS(_xlfn.TEXTAFTER(L449," ",1) = "Days", _xlfn.NUMBERVALUE(_xlfn.TEXTBEFORE(L449," ",1)), L449="18 Months", 547, _xlfn.TEXTAFTER(L449," ",1) = "Years", _xlfn.NUMBERVALUE(_xlfn.TEXTBEFORE(L449," ",1))*365), "")</f>
        <v/>
      </c>
    </row>
    <row r="450" spans="15:15" ht="16.3" x14ac:dyDescent="0.25">
      <c r="O450" s="48" t="str" cm="1">
        <f t="array" ref="O450" xml:space="preserve"> IF(AND($L450 &lt;&gt; "", $L450 &lt;&gt; "Removed"), N450 + _xlfn.IFS(_xlfn.TEXTAFTER(L450," ",1) = "Days", _xlfn.NUMBERVALUE(_xlfn.TEXTBEFORE(L450," ",1)), L450="18 Months", 547, _xlfn.TEXTAFTER(L450," ",1) = "Years", _xlfn.NUMBERVALUE(_xlfn.TEXTBEFORE(L450," ",1))*365), "")</f>
        <v/>
      </c>
    </row>
    <row r="451" spans="15:15" ht="16.3" x14ac:dyDescent="0.25">
      <c r="O451" s="48" t="str" cm="1">
        <f t="array" ref="O451" xml:space="preserve"> IF(AND($L451 &lt;&gt; "", $L451 &lt;&gt; "Removed"), N451 + _xlfn.IFS(_xlfn.TEXTAFTER(L451," ",1) = "Days", _xlfn.NUMBERVALUE(_xlfn.TEXTBEFORE(L451," ",1)), L451="18 Months", 547, _xlfn.TEXTAFTER(L451," ",1) = "Years", _xlfn.NUMBERVALUE(_xlfn.TEXTBEFORE(L451," ",1))*365), "")</f>
        <v/>
      </c>
    </row>
    <row r="452" spans="15:15" ht="16.3" x14ac:dyDescent="0.25">
      <c r="O452" s="48" t="str" cm="1">
        <f t="array" ref="O452" xml:space="preserve"> IF(AND($L452 &lt;&gt; "", $L452 &lt;&gt; "Removed"), N452 + _xlfn.IFS(_xlfn.TEXTAFTER(L452," ",1) = "Days", _xlfn.NUMBERVALUE(_xlfn.TEXTBEFORE(L452," ",1)), L452="18 Months", 547, _xlfn.TEXTAFTER(L452," ",1) = "Years", _xlfn.NUMBERVALUE(_xlfn.TEXTBEFORE(L452," ",1))*365), "")</f>
        <v/>
      </c>
    </row>
    <row r="453" spans="15:15" ht="16.3" x14ac:dyDescent="0.25">
      <c r="O453" s="48" t="str" cm="1">
        <f t="array" ref="O453" xml:space="preserve"> IF(AND($L453 &lt;&gt; "", $L453 &lt;&gt; "Removed"), N453 + _xlfn.IFS(_xlfn.TEXTAFTER(L453," ",1) = "Days", _xlfn.NUMBERVALUE(_xlfn.TEXTBEFORE(L453," ",1)), L453="18 Months", 547, _xlfn.TEXTAFTER(L453," ",1) = "Years", _xlfn.NUMBERVALUE(_xlfn.TEXTBEFORE(L453," ",1))*365), "")</f>
        <v/>
      </c>
    </row>
    <row r="454" spans="15:15" ht="16.3" x14ac:dyDescent="0.25">
      <c r="O454" s="48" t="str" cm="1">
        <f t="array" ref="O454" xml:space="preserve"> IF(AND($L454 &lt;&gt; "", $L454 &lt;&gt; "Removed"), N454 + _xlfn.IFS(_xlfn.TEXTAFTER(L454," ",1) = "Days", _xlfn.NUMBERVALUE(_xlfn.TEXTBEFORE(L454," ",1)), L454="18 Months", 547, _xlfn.TEXTAFTER(L454," ",1) = "Years", _xlfn.NUMBERVALUE(_xlfn.TEXTBEFORE(L454," ",1))*365), "")</f>
        <v/>
      </c>
    </row>
    <row r="455" spans="15:15" ht="16.3" x14ac:dyDescent="0.25">
      <c r="O455" s="48" t="str" cm="1">
        <f t="array" ref="O455" xml:space="preserve"> IF(AND($L455 &lt;&gt; "", $L455 &lt;&gt; "Removed"), N455 + _xlfn.IFS(_xlfn.TEXTAFTER(L455," ",1) = "Days", _xlfn.NUMBERVALUE(_xlfn.TEXTBEFORE(L455," ",1)), L455="18 Months", 547, _xlfn.TEXTAFTER(L455," ",1) = "Years", _xlfn.NUMBERVALUE(_xlfn.TEXTBEFORE(L455," ",1))*365), "")</f>
        <v/>
      </c>
    </row>
    <row r="456" spans="15:15" ht="16.3" x14ac:dyDescent="0.25">
      <c r="O456" s="48" t="str" cm="1">
        <f t="array" ref="O456" xml:space="preserve"> IF(AND($L456 &lt;&gt; "", $L456 &lt;&gt; "Removed"), N456 + _xlfn.IFS(_xlfn.TEXTAFTER(L456," ",1) = "Days", _xlfn.NUMBERVALUE(_xlfn.TEXTBEFORE(L456," ",1)), L456="18 Months", 547, _xlfn.TEXTAFTER(L456," ",1) = "Years", _xlfn.NUMBERVALUE(_xlfn.TEXTBEFORE(L456," ",1))*365), "")</f>
        <v/>
      </c>
    </row>
    <row r="457" spans="15:15" ht="16.3" x14ac:dyDescent="0.25">
      <c r="O457" s="48" t="str" cm="1">
        <f t="array" ref="O457" xml:space="preserve"> IF(AND($L457 &lt;&gt; "", $L457 &lt;&gt; "Removed"), N457 + _xlfn.IFS(_xlfn.TEXTAFTER(L457," ",1) = "Days", _xlfn.NUMBERVALUE(_xlfn.TEXTBEFORE(L457," ",1)), L457="18 Months", 547, _xlfn.TEXTAFTER(L457," ",1) = "Years", _xlfn.NUMBERVALUE(_xlfn.TEXTBEFORE(L457," ",1))*365), "")</f>
        <v/>
      </c>
    </row>
    <row r="458" spans="15:15" ht="16.3" x14ac:dyDescent="0.25">
      <c r="O458" s="48" t="str" cm="1">
        <f t="array" ref="O458" xml:space="preserve"> IF(AND($L458 &lt;&gt; "", $L458 &lt;&gt; "Removed"), N458 + _xlfn.IFS(_xlfn.TEXTAFTER(L458," ",1) = "Days", _xlfn.NUMBERVALUE(_xlfn.TEXTBEFORE(L458," ",1)), L458="18 Months", 547, _xlfn.TEXTAFTER(L458," ",1) = "Years", _xlfn.NUMBERVALUE(_xlfn.TEXTBEFORE(L458," ",1))*365), "")</f>
        <v/>
      </c>
    </row>
    <row r="459" spans="15:15" ht="16.3" x14ac:dyDescent="0.25">
      <c r="O459" s="48" t="str" cm="1">
        <f t="array" ref="O459" xml:space="preserve"> IF(AND($L459 &lt;&gt; "", $L459 &lt;&gt; "Removed"), N459 + _xlfn.IFS(_xlfn.TEXTAFTER(L459," ",1) = "Days", _xlfn.NUMBERVALUE(_xlfn.TEXTBEFORE(L459," ",1)), L459="18 Months", 547, _xlfn.TEXTAFTER(L459," ",1) = "Years", _xlfn.NUMBERVALUE(_xlfn.TEXTBEFORE(L459," ",1))*365), "")</f>
        <v/>
      </c>
    </row>
    <row r="460" spans="15:15" ht="16.3" x14ac:dyDescent="0.25">
      <c r="O460" s="48" t="str" cm="1">
        <f t="array" ref="O460" xml:space="preserve"> IF(AND($L460 &lt;&gt; "", $L460 &lt;&gt; "Removed"), N460 + _xlfn.IFS(_xlfn.TEXTAFTER(L460," ",1) = "Days", _xlfn.NUMBERVALUE(_xlfn.TEXTBEFORE(L460," ",1)), L460="18 Months", 547, _xlfn.TEXTAFTER(L460," ",1) = "Years", _xlfn.NUMBERVALUE(_xlfn.TEXTBEFORE(L460," ",1))*365), "")</f>
        <v/>
      </c>
    </row>
    <row r="461" spans="15:15" ht="16.3" x14ac:dyDescent="0.25">
      <c r="O461" s="48" t="str" cm="1">
        <f t="array" ref="O461" xml:space="preserve"> IF(AND($L461 &lt;&gt; "", $L461 &lt;&gt; "Removed"), N461 + _xlfn.IFS(_xlfn.TEXTAFTER(L461," ",1) = "Days", _xlfn.NUMBERVALUE(_xlfn.TEXTBEFORE(L461," ",1)), L461="18 Months", 547, _xlfn.TEXTAFTER(L461," ",1) = "Years", _xlfn.NUMBERVALUE(_xlfn.TEXTBEFORE(L461," ",1))*365), "")</f>
        <v/>
      </c>
    </row>
    <row r="462" spans="15:15" ht="16.3" x14ac:dyDescent="0.25">
      <c r="O462" s="48" t="str" cm="1">
        <f t="array" ref="O462" xml:space="preserve"> IF(AND($L462 &lt;&gt; "", $L462 &lt;&gt; "Removed"), N462 + _xlfn.IFS(_xlfn.TEXTAFTER(L462," ",1) = "Days", _xlfn.NUMBERVALUE(_xlfn.TEXTBEFORE(L462," ",1)), L462="18 Months", 547, _xlfn.TEXTAFTER(L462," ",1) = "Years", _xlfn.NUMBERVALUE(_xlfn.TEXTBEFORE(L462," ",1))*365), "")</f>
        <v/>
      </c>
    </row>
    <row r="463" spans="15:15" ht="16.3" x14ac:dyDescent="0.25">
      <c r="O463" s="48" t="str" cm="1">
        <f t="array" ref="O463" xml:space="preserve"> IF(AND($L463 &lt;&gt; "", $L463 &lt;&gt; "Removed"), N463 + _xlfn.IFS(_xlfn.TEXTAFTER(L463," ",1) = "Days", _xlfn.NUMBERVALUE(_xlfn.TEXTBEFORE(L463," ",1)), L463="18 Months", 547, _xlfn.TEXTAFTER(L463," ",1) = "Years", _xlfn.NUMBERVALUE(_xlfn.TEXTBEFORE(L463," ",1))*365), "")</f>
        <v/>
      </c>
    </row>
    <row r="464" spans="15:15" ht="16.3" x14ac:dyDescent="0.25">
      <c r="O464" s="48" t="str" cm="1">
        <f t="array" ref="O464" xml:space="preserve"> IF(AND($L464 &lt;&gt; "", $L464 &lt;&gt; "Removed"), N464 + _xlfn.IFS(_xlfn.TEXTAFTER(L464," ",1) = "Days", _xlfn.NUMBERVALUE(_xlfn.TEXTBEFORE(L464," ",1)), L464="18 Months", 547, _xlfn.TEXTAFTER(L464," ",1) = "Years", _xlfn.NUMBERVALUE(_xlfn.TEXTBEFORE(L464," ",1))*365), "")</f>
        <v/>
      </c>
    </row>
    <row r="465" spans="15:15" ht="16.3" x14ac:dyDescent="0.25">
      <c r="O465" s="48" t="str" cm="1">
        <f t="array" ref="O465" xml:space="preserve"> IF(AND($L465 &lt;&gt; "", $L465 &lt;&gt; "Removed"), N465 + _xlfn.IFS(_xlfn.TEXTAFTER(L465," ",1) = "Days", _xlfn.NUMBERVALUE(_xlfn.TEXTBEFORE(L465," ",1)), L465="18 Months", 547, _xlfn.TEXTAFTER(L465," ",1) = "Years", _xlfn.NUMBERVALUE(_xlfn.TEXTBEFORE(L465," ",1))*365), "")</f>
        <v/>
      </c>
    </row>
    <row r="466" spans="15:15" ht="16.3" x14ac:dyDescent="0.25">
      <c r="O466" s="48" t="str" cm="1">
        <f t="array" ref="O466" xml:space="preserve"> IF(AND($L466 &lt;&gt; "", $L466 &lt;&gt; "Removed"), N466 + _xlfn.IFS(_xlfn.TEXTAFTER(L466," ",1) = "Days", _xlfn.NUMBERVALUE(_xlfn.TEXTBEFORE(L466," ",1)), L466="18 Months", 547, _xlfn.TEXTAFTER(L466," ",1) = "Years", _xlfn.NUMBERVALUE(_xlfn.TEXTBEFORE(L466," ",1))*365), "")</f>
        <v/>
      </c>
    </row>
    <row r="467" spans="15:15" ht="16.3" x14ac:dyDescent="0.25">
      <c r="O467" s="48" t="str" cm="1">
        <f t="array" ref="O467" xml:space="preserve"> IF(AND($L467 &lt;&gt; "", $L467 &lt;&gt; "Removed"), N467 + _xlfn.IFS(_xlfn.TEXTAFTER(L467," ",1) = "Days", _xlfn.NUMBERVALUE(_xlfn.TEXTBEFORE(L467," ",1)), L467="18 Months", 547, _xlfn.TEXTAFTER(L467," ",1) = "Years", _xlfn.NUMBERVALUE(_xlfn.TEXTBEFORE(L467," ",1))*365), "")</f>
        <v/>
      </c>
    </row>
    <row r="468" spans="15:15" ht="16.3" x14ac:dyDescent="0.25">
      <c r="O468" s="48" t="str" cm="1">
        <f t="array" ref="O468" xml:space="preserve"> IF(AND($L468 &lt;&gt; "", $L468 &lt;&gt; "Removed"), N468 + _xlfn.IFS(_xlfn.TEXTAFTER(L468," ",1) = "Days", _xlfn.NUMBERVALUE(_xlfn.TEXTBEFORE(L468," ",1)), L468="18 Months", 547, _xlfn.TEXTAFTER(L468," ",1) = "Years", _xlfn.NUMBERVALUE(_xlfn.TEXTBEFORE(L468," ",1))*365), "")</f>
        <v/>
      </c>
    </row>
    <row r="469" spans="15:15" ht="16.3" x14ac:dyDescent="0.25">
      <c r="O469" s="48" t="str" cm="1">
        <f t="array" ref="O469" xml:space="preserve"> IF(AND($L469 &lt;&gt; "", $L469 &lt;&gt; "Removed"), N469 + _xlfn.IFS(_xlfn.TEXTAFTER(L469," ",1) = "Days", _xlfn.NUMBERVALUE(_xlfn.TEXTBEFORE(L469," ",1)), L469="18 Months", 547, _xlfn.TEXTAFTER(L469," ",1) = "Years", _xlfn.NUMBERVALUE(_xlfn.TEXTBEFORE(L469," ",1))*365), "")</f>
        <v/>
      </c>
    </row>
    <row r="470" spans="15:15" ht="16.3" x14ac:dyDescent="0.25">
      <c r="O470" s="48" t="str" cm="1">
        <f t="array" ref="O470" xml:space="preserve"> IF(AND($L470 &lt;&gt; "", $L470 &lt;&gt; "Removed"), N470 + _xlfn.IFS(_xlfn.TEXTAFTER(L470," ",1) = "Days", _xlfn.NUMBERVALUE(_xlfn.TEXTBEFORE(L470," ",1)), L470="18 Months", 547, _xlfn.TEXTAFTER(L470," ",1) = "Years", _xlfn.NUMBERVALUE(_xlfn.TEXTBEFORE(L470," ",1))*365), "")</f>
        <v/>
      </c>
    </row>
    <row r="471" spans="15:15" ht="16.3" x14ac:dyDescent="0.25">
      <c r="O471" s="48" t="str" cm="1">
        <f t="array" ref="O471" xml:space="preserve"> IF(AND($L471 &lt;&gt; "", $L471 &lt;&gt; "Removed"), N471 + _xlfn.IFS(_xlfn.TEXTAFTER(L471," ",1) = "Days", _xlfn.NUMBERVALUE(_xlfn.TEXTBEFORE(L471," ",1)), L471="18 Months", 547, _xlfn.TEXTAFTER(L471," ",1) = "Years", _xlfn.NUMBERVALUE(_xlfn.TEXTBEFORE(L471," ",1))*365), "")</f>
        <v/>
      </c>
    </row>
    <row r="472" spans="15:15" ht="16.3" x14ac:dyDescent="0.25">
      <c r="O472" s="48" t="str" cm="1">
        <f t="array" ref="O472" xml:space="preserve"> IF(AND($L472 &lt;&gt; "", $L472 &lt;&gt; "Removed"), N472 + _xlfn.IFS(_xlfn.TEXTAFTER(L472," ",1) = "Days", _xlfn.NUMBERVALUE(_xlfn.TEXTBEFORE(L472," ",1)), L472="18 Months", 547, _xlfn.TEXTAFTER(L472," ",1) = "Years", _xlfn.NUMBERVALUE(_xlfn.TEXTBEFORE(L472," ",1))*365), "")</f>
        <v/>
      </c>
    </row>
    <row r="473" spans="15:15" ht="16.3" x14ac:dyDescent="0.25">
      <c r="O473" s="48" t="str" cm="1">
        <f t="array" ref="O473" xml:space="preserve"> IF(AND($L473 &lt;&gt; "", $L473 &lt;&gt; "Removed"), N473 + _xlfn.IFS(_xlfn.TEXTAFTER(L473," ",1) = "Days", _xlfn.NUMBERVALUE(_xlfn.TEXTBEFORE(L473," ",1)), L473="18 Months", 547, _xlfn.TEXTAFTER(L473," ",1) = "Years", _xlfn.NUMBERVALUE(_xlfn.TEXTBEFORE(L473," ",1))*365), "")</f>
        <v/>
      </c>
    </row>
    <row r="474" spans="15:15" ht="16.3" x14ac:dyDescent="0.25">
      <c r="O474" s="48" t="str" cm="1">
        <f t="array" ref="O474" xml:space="preserve"> IF(AND($L474 &lt;&gt; "", $L474 &lt;&gt; "Removed"), N474 + _xlfn.IFS(_xlfn.TEXTAFTER(L474," ",1) = "Days", _xlfn.NUMBERVALUE(_xlfn.TEXTBEFORE(L474," ",1)), L474="18 Months", 547, _xlfn.TEXTAFTER(L474," ",1) = "Years", _xlfn.NUMBERVALUE(_xlfn.TEXTBEFORE(L474," ",1))*365), "")</f>
        <v/>
      </c>
    </row>
    <row r="475" spans="15:15" ht="16.3" x14ac:dyDescent="0.25">
      <c r="O475" s="48" t="str" cm="1">
        <f t="array" ref="O475" xml:space="preserve"> IF(AND($L475 &lt;&gt; "", $L475 &lt;&gt; "Removed"), N475 + _xlfn.IFS(_xlfn.TEXTAFTER(L475," ",1) = "Days", _xlfn.NUMBERVALUE(_xlfn.TEXTBEFORE(L475," ",1)), L475="18 Months", 547, _xlfn.TEXTAFTER(L475," ",1) = "Years", _xlfn.NUMBERVALUE(_xlfn.TEXTBEFORE(L475," ",1))*365), "")</f>
        <v/>
      </c>
    </row>
    <row r="476" spans="15:15" ht="16.3" x14ac:dyDescent="0.25">
      <c r="O476" s="48" t="str" cm="1">
        <f t="array" ref="O476" xml:space="preserve"> IF(AND($L476 &lt;&gt; "", $L476 &lt;&gt; "Removed"), N476 + _xlfn.IFS(_xlfn.TEXTAFTER(L476," ",1) = "Days", _xlfn.NUMBERVALUE(_xlfn.TEXTBEFORE(L476," ",1)), L476="18 Months", 547, _xlfn.TEXTAFTER(L476," ",1) = "Years", _xlfn.NUMBERVALUE(_xlfn.TEXTBEFORE(L476," ",1))*365), "")</f>
        <v/>
      </c>
    </row>
    <row r="477" spans="15:15" ht="16.3" x14ac:dyDescent="0.25">
      <c r="O477" s="48" t="str" cm="1">
        <f t="array" ref="O477" xml:space="preserve"> IF(AND($L477 &lt;&gt; "", $L477 &lt;&gt; "Removed"), N477 + _xlfn.IFS(_xlfn.TEXTAFTER(L477," ",1) = "Days", _xlfn.NUMBERVALUE(_xlfn.TEXTBEFORE(L477," ",1)), L477="18 Months", 547, _xlfn.TEXTAFTER(L477," ",1) = "Years", _xlfn.NUMBERVALUE(_xlfn.TEXTBEFORE(L477," ",1))*365), "")</f>
        <v/>
      </c>
    </row>
    <row r="478" spans="15:15" ht="16.3" x14ac:dyDescent="0.25">
      <c r="O478" s="48" t="str" cm="1">
        <f t="array" ref="O478" xml:space="preserve"> IF(AND($L478 &lt;&gt; "", $L478 &lt;&gt; "Removed"), N478 + _xlfn.IFS(_xlfn.TEXTAFTER(L478," ",1) = "Days", _xlfn.NUMBERVALUE(_xlfn.TEXTBEFORE(L478," ",1)), L478="18 Months", 547, _xlfn.TEXTAFTER(L478," ",1) = "Years", _xlfn.NUMBERVALUE(_xlfn.TEXTBEFORE(L478," ",1))*365), "")</f>
        <v/>
      </c>
    </row>
    <row r="479" spans="15:15" ht="16.3" x14ac:dyDescent="0.25">
      <c r="O479" s="48" t="str" cm="1">
        <f t="array" ref="O479" xml:space="preserve"> IF(AND($L479 &lt;&gt; "", $L479 &lt;&gt; "Removed"), N479 + _xlfn.IFS(_xlfn.TEXTAFTER(L479," ",1) = "Days", _xlfn.NUMBERVALUE(_xlfn.TEXTBEFORE(L479," ",1)), L479="18 Months", 547, _xlfn.TEXTAFTER(L479," ",1) = "Years", _xlfn.NUMBERVALUE(_xlfn.TEXTBEFORE(L479," ",1))*365), "")</f>
        <v/>
      </c>
    </row>
    <row r="480" spans="15:15" ht="16.3" x14ac:dyDescent="0.25">
      <c r="O480" s="48" t="str" cm="1">
        <f t="array" ref="O480" xml:space="preserve"> IF(AND($L480 &lt;&gt; "", $L480 &lt;&gt; "Removed"), N480 + _xlfn.IFS(_xlfn.TEXTAFTER(L480," ",1) = "Days", _xlfn.NUMBERVALUE(_xlfn.TEXTBEFORE(L480," ",1)), L480="18 Months", 547, _xlfn.TEXTAFTER(L480," ",1) = "Years", _xlfn.NUMBERVALUE(_xlfn.TEXTBEFORE(L480," ",1))*365), "")</f>
        <v/>
      </c>
    </row>
    <row r="481" spans="15:15" ht="16.3" x14ac:dyDescent="0.25">
      <c r="O481" s="48" t="str" cm="1">
        <f t="array" ref="O481" xml:space="preserve"> IF(AND($L481 &lt;&gt; "", $L481 &lt;&gt; "Removed"), N481 + _xlfn.IFS(_xlfn.TEXTAFTER(L481," ",1) = "Days", _xlfn.NUMBERVALUE(_xlfn.TEXTBEFORE(L481," ",1)), L481="18 Months", 547, _xlfn.TEXTAFTER(L481," ",1) = "Years", _xlfn.NUMBERVALUE(_xlfn.TEXTBEFORE(L481," ",1))*365), "")</f>
        <v/>
      </c>
    </row>
    <row r="482" spans="15:15" ht="16.3" x14ac:dyDescent="0.25">
      <c r="O482" s="48" t="str" cm="1">
        <f t="array" ref="O482" xml:space="preserve"> IF(AND($L482 &lt;&gt; "", $L482 &lt;&gt; "Removed"), N482 + _xlfn.IFS(_xlfn.TEXTAFTER(L482," ",1) = "Days", _xlfn.NUMBERVALUE(_xlfn.TEXTBEFORE(L482," ",1)), L482="18 Months", 547, _xlfn.TEXTAFTER(L482," ",1) = "Years", _xlfn.NUMBERVALUE(_xlfn.TEXTBEFORE(L482," ",1))*365), "")</f>
        <v/>
      </c>
    </row>
    <row r="483" spans="15:15" ht="16.3" x14ac:dyDescent="0.25">
      <c r="O483" s="48" t="str" cm="1">
        <f t="array" ref="O483" xml:space="preserve"> IF(AND($L483 &lt;&gt; "", $L483 &lt;&gt; "Removed"), N483 + _xlfn.IFS(_xlfn.TEXTAFTER(L483," ",1) = "Days", _xlfn.NUMBERVALUE(_xlfn.TEXTBEFORE(L483," ",1)), L483="18 Months", 547, _xlfn.TEXTAFTER(L483," ",1) = "Years", _xlfn.NUMBERVALUE(_xlfn.TEXTBEFORE(L483," ",1))*365), "")</f>
        <v/>
      </c>
    </row>
    <row r="484" spans="15:15" ht="16.3" x14ac:dyDescent="0.25">
      <c r="O484" s="48" t="str" cm="1">
        <f t="array" ref="O484" xml:space="preserve"> IF(AND($L484 &lt;&gt; "", $L484 &lt;&gt; "Removed"), N484 + _xlfn.IFS(_xlfn.TEXTAFTER(L484," ",1) = "Days", _xlfn.NUMBERVALUE(_xlfn.TEXTBEFORE(L484," ",1)), L484="18 Months", 547, _xlfn.TEXTAFTER(L484," ",1) = "Years", _xlfn.NUMBERVALUE(_xlfn.TEXTBEFORE(L484," ",1))*365), "")</f>
        <v/>
      </c>
    </row>
    <row r="485" spans="15:15" ht="16.3" x14ac:dyDescent="0.25">
      <c r="O485" s="48" t="str" cm="1">
        <f t="array" ref="O485" xml:space="preserve"> IF(AND($L485 &lt;&gt; "", $L485 &lt;&gt; "Removed"), N485 + _xlfn.IFS(_xlfn.TEXTAFTER(L485," ",1) = "Days", _xlfn.NUMBERVALUE(_xlfn.TEXTBEFORE(L485," ",1)), L485="18 Months", 547, _xlfn.TEXTAFTER(L485," ",1) = "Years", _xlfn.NUMBERVALUE(_xlfn.TEXTBEFORE(L485," ",1))*365), "")</f>
        <v/>
      </c>
    </row>
    <row r="486" spans="15:15" ht="16.3" x14ac:dyDescent="0.25">
      <c r="O486" s="48" t="str" cm="1">
        <f t="array" ref="O486" xml:space="preserve"> IF(AND($L486 &lt;&gt; "", $L486 &lt;&gt; "Removed"), N486 + _xlfn.IFS(_xlfn.TEXTAFTER(L486," ",1) = "Days", _xlfn.NUMBERVALUE(_xlfn.TEXTBEFORE(L486," ",1)), L486="18 Months", 547, _xlfn.TEXTAFTER(L486," ",1) = "Years", _xlfn.NUMBERVALUE(_xlfn.TEXTBEFORE(L486," ",1))*365), "")</f>
        <v/>
      </c>
    </row>
    <row r="487" spans="15:15" ht="16.3" x14ac:dyDescent="0.25">
      <c r="O487" s="48" t="str" cm="1">
        <f t="array" ref="O487" xml:space="preserve"> IF(AND($L487 &lt;&gt; "", $L487 &lt;&gt; "Removed"), N487 + _xlfn.IFS(_xlfn.TEXTAFTER(L487," ",1) = "Days", _xlfn.NUMBERVALUE(_xlfn.TEXTBEFORE(L487," ",1)), L487="18 Months", 547, _xlfn.TEXTAFTER(L487," ",1) = "Years", _xlfn.NUMBERVALUE(_xlfn.TEXTBEFORE(L487," ",1))*365), "")</f>
        <v/>
      </c>
    </row>
    <row r="488" spans="15:15" ht="16.3" x14ac:dyDescent="0.25">
      <c r="O488" s="48" t="str" cm="1">
        <f t="array" ref="O488" xml:space="preserve"> IF(AND($L488 &lt;&gt; "", $L488 &lt;&gt; "Removed"), N488 + _xlfn.IFS(_xlfn.TEXTAFTER(L488," ",1) = "Days", _xlfn.NUMBERVALUE(_xlfn.TEXTBEFORE(L488," ",1)), L488="18 Months", 547, _xlfn.TEXTAFTER(L488," ",1) = "Years", _xlfn.NUMBERVALUE(_xlfn.TEXTBEFORE(L488," ",1))*365), "")</f>
        <v/>
      </c>
    </row>
    <row r="489" spans="15:15" ht="16.3" x14ac:dyDescent="0.25">
      <c r="O489" s="48" t="str" cm="1">
        <f t="array" ref="O489" xml:space="preserve"> IF(AND($L489 &lt;&gt; "", $L489 &lt;&gt; "Removed"), N489 + _xlfn.IFS(_xlfn.TEXTAFTER(L489," ",1) = "Days", _xlfn.NUMBERVALUE(_xlfn.TEXTBEFORE(L489," ",1)), L489="18 Months", 547, _xlfn.TEXTAFTER(L489," ",1) = "Years", _xlfn.NUMBERVALUE(_xlfn.TEXTBEFORE(L489," ",1))*365), "")</f>
        <v/>
      </c>
    </row>
    <row r="490" spans="15:15" ht="16.3" x14ac:dyDescent="0.25">
      <c r="O490" s="48" t="str" cm="1">
        <f t="array" ref="O490" xml:space="preserve"> IF(AND($L490 &lt;&gt; "", $L490 &lt;&gt; "Removed"), N490 + _xlfn.IFS(_xlfn.TEXTAFTER(L490," ",1) = "Days", _xlfn.NUMBERVALUE(_xlfn.TEXTBEFORE(L490," ",1)), L490="18 Months", 547, _xlfn.TEXTAFTER(L490," ",1) = "Years", _xlfn.NUMBERVALUE(_xlfn.TEXTBEFORE(L490," ",1))*365), "")</f>
        <v/>
      </c>
    </row>
    <row r="491" spans="15:15" ht="16.3" x14ac:dyDescent="0.25">
      <c r="O491" s="48" t="str" cm="1">
        <f t="array" ref="O491" xml:space="preserve"> IF(AND($L491 &lt;&gt; "", $L491 &lt;&gt; "Removed"), N491 + _xlfn.IFS(_xlfn.TEXTAFTER(L491," ",1) = "Days", _xlfn.NUMBERVALUE(_xlfn.TEXTBEFORE(L491," ",1)), L491="18 Months", 547, _xlfn.TEXTAFTER(L491," ",1) = "Years", _xlfn.NUMBERVALUE(_xlfn.TEXTBEFORE(L491," ",1))*365), "")</f>
        <v/>
      </c>
    </row>
    <row r="492" spans="15:15" ht="16.3" x14ac:dyDescent="0.25">
      <c r="O492" s="48" t="str" cm="1">
        <f t="array" ref="O492" xml:space="preserve"> IF(AND($L492 &lt;&gt; "", $L492 &lt;&gt; "Removed"), N492 + _xlfn.IFS(_xlfn.TEXTAFTER(L492," ",1) = "Days", _xlfn.NUMBERVALUE(_xlfn.TEXTBEFORE(L492," ",1)), L492="18 Months", 547, _xlfn.TEXTAFTER(L492," ",1) = "Years", _xlfn.NUMBERVALUE(_xlfn.TEXTBEFORE(L492," ",1))*365), "")</f>
        <v/>
      </c>
    </row>
    <row r="493" spans="15:15" ht="16.3" x14ac:dyDescent="0.25">
      <c r="O493" s="48" t="str" cm="1">
        <f t="array" ref="O493" xml:space="preserve"> IF(AND($L493 &lt;&gt; "", $L493 &lt;&gt; "Removed"), N493 + _xlfn.IFS(_xlfn.TEXTAFTER(L493," ",1) = "Days", _xlfn.NUMBERVALUE(_xlfn.TEXTBEFORE(L493," ",1)), L493="18 Months", 547, _xlfn.TEXTAFTER(L493," ",1) = "Years", _xlfn.NUMBERVALUE(_xlfn.TEXTBEFORE(L493," ",1))*365), "")</f>
        <v/>
      </c>
    </row>
    <row r="494" spans="15:15" ht="16.3" x14ac:dyDescent="0.25">
      <c r="O494" s="48" t="str" cm="1">
        <f t="array" ref="O494" xml:space="preserve"> IF(AND($L494 &lt;&gt; "", $L494 &lt;&gt; "Removed"), N494 + _xlfn.IFS(_xlfn.TEXTAFTER(L494," ",1) = "Days", _xlfn.NUMBERVALUE(_xlfn.TEXTBEFORE(L494," ",1)), L494="18 Months", 547, _xlfn.TEXTAFTER(L494," ",1) = "Years", _xlfn.NUMBERVALUE(_xlfn.TEXTBEFORE(L494," ",1))*365), "")</f>
        <v/>
      </c>
    </row>
    <row r="495" spans="15:15" ht="16.3" x14ac:dyDescent="0.25">
      <c r="O495" s="48" t="str" cm="1">
        <f t="array" ref="O495" xml:space="preserve"> IF(AND($L495 &lt;&gt; "", $L495 &lt;&gt; "Removed"), N495 + _xlfn.IFS(_xlfn.TEXTAFTER(L495," ",1) = "Days", _xlfn.NUMBERVALUE(_xlfn.TEXTBEFORE(L495," ",1)), L495="18 Months", 547, _xlfn.TEXTAFTER(L495," ",1) = "Years", _xlfn.NUMBERVALUE(_xlfn.TEXTBEFORE(L495," ",1))*365), "")</f>
        <v/>
      </c>
    </row>
    <row r="496" spans="15:15" ht="16.3" x14ac:dyDescent="0.25">
      <c r="O496" s="48" t="str" cm="1">
        <f t="array" ref="O496" xml:space="preserve"> IF(AND($L496 &lt;&gt; "", $L496 &lt;&gt; "Removed"), N496 + _xlfn.IFS(_xlfn.TEXTAFTER(L496," ",1) = "Days", _xlfn.NUMBERVALUE(_xlfn.TEXTBEFORE(L496," ",1)), L496="18 Months", 547, _xlfn.TEXTAFTER(L496," ",1) = "Years", _xlfn.NUMBERVALUE(_xlfn.TEXTBEFORE(L496," ",1))*365), "")</f>
        <v/>
      </c>
    </row>
    <row r="497" spans="15:15" ht="16.3" x14ac:dyDescent="0.25">
      <c r="O497" s="48" t="str" cm="1">
        <f t="array" ref="O497" xml:space="preserve"> IF(AND($L497 &lt;&gt; "", $L497 &lt;&gt; "Removed"), N497 + _xlfn.IFS(_xlfn.TEXTAFTER(L497," ",1) = "Days", _xlfn.NUMBERVALUE(_xlfn.TEXTBEFORE(L497," ",1)), L497="18 Months", 547, _xlfn.TEXTAFTER(L497," ",1) = "Years", _xlfn.NUMBERVALUE(_xlfn.TEXTBEFORE(L497," ",1))*365), "")</f>
        <v/>
      </c>
    </row>
    <row r="498" spans="15:15" ht="16.3" x14ac:dyDescent="0.25">
      <c r="O498" s="48" t="str" cm="1">
        <f t="array" ref="O498" xml:space="preserve"> IF(AND($L498 &lt;&gt; "", $L498 &lt;&gt; "Removed"), N498 + _xlfn.IFS(_xlfn.TEXTAFTER(L498," ",1) = "Days", _xlfn.NUMBERVALUE(_xlfn.TEXTBEFORE(L498," ",1)), L498="18 Months", 547, _xlfn.TEXTAFTER(L498," ",1) = "Years", _xlfn.NUMBERVALUE(_xlfn.TEXTBEFORE(L498," ",1))*365), "")</f>
        <v/>
      </c>
    </row>
    <row r="499" spans="15:15" ht="16.3" x14ac:dyDescent="0.25">
      <c r="O499" s="48" t="str" cm="1">
        <f t="array" ref="O499" xml:space="preserve"> IF(AND($L499 &lt;&gt; "", $L499 &lt;&gt; "Removed"), N499 + _xlfn.IFS(_xlfn.TEXTAFTER(L499," ",1) = "Days", _xlfn.NUMBERVALUE(_xlfn.TEXTBEFORE(L499," ",1)), L499="18 Months", 547, _xlfn.TEXTAFTER(L499," ",1) = "Years", _xlfn.NUMBERVALUE(_xlfn.TEXTBEFORE(L499," ",1))*365), "")</f>
        <v/>
      </c>
    </row>
    <row r="500" spans="15:15" ht="16.3" x14ac:dyDescent="0.25">
      <c r="O500" s="48" t="str" cm="1">
        <f t="array" ref="O500" xml:space="preserve"> IF(AND($L500 &lt;&gt; "", $L500 &lt;&gt; "Removed"), N500 + _xlfn.IFS(_xlfn.TEXTAFTER(L500," ",1) = "Days", _xlfn.NUMBERVALUE(_xlfn.TEXTBEFORE(L500," ",1)), L500="18 Months", 547, _xlfn.TEXTAFTER(L500," ",1) = "Years", _xlfn.NUMBERVALUE(_xlfn.TEXTBEFORE(L500," ",1))*365), "")</f>
        <v/>
      </c>
    </row>
    <row r="501" spans="15:15" ht="16.3" x14ac:dyDescent="0.25">
      <c r="O501" s="48" t="str" cm="1">
        <f t="array" ref="O501" xml:space="preserve"> IF(AND($L501 &lt;&gt; "", $L501 &lt;&gt; "Removed"), N501 + _xlfn.IFS(_xlfn.TEXTAFTER(L501," ",1) = "Days", _xlfn.NUMBERVALUE(_xlfn.TEXTBEFORE(L501," ",1)), L501="18 Months", 547, _xlfn.TEXTAFTER(L501," ",1) = "Years", _xlfn.NUMBERVALUE(_xlfn.TEXTBEFORE(L501," ",1))*365), "")</f>
        <v/>
      </c>
    </row>
    <row r="502" spans="15:15" ht="16.3" x14ac:dyDescent="0.25">
      <c r="O502" s="48" t="str" cm="1">
        <f t="array" ref="O502" xml:space="preserve"> IF(AND($L502 &lt;&gt; "", $L502 &lt;&gt; "Removed"), N502 + _xlfn.IFS(_xlfn.TEXTAFTER(L502," ",1) = "Days", _xlfn.NUMBERVALUE(_xlfn.TEXTBEFORE(L502," ",1)), L502="18 Months", 547, _xlfn.TEXTAFTER(L502," ",1) = "Years", _xlfn.NUMBERVALUE(_xlfn.TEXTBEFORE(L502," ",1))*365), "")</f>
        <v/>
      </c>
    </row>
    <row r="503" spans="15:15" ht="16.3" x14ac:dyDescent="0.25">
      <c r="O503" s="48" t="str" cm="1">
        <f t="array" ref="O503" xml:space="preserve"> IF(AND($L503 &lt;&gt; "", $L503 &lt;&gt; "Removed"), N503 + _xlfn.IFS(_xlfn.TEXTAFTER(L503," ",1) = "Days", _xlfn.NUMBERVALUE(_xlfn.TEXTBEFORE(L503," ",1)), L503="18 Months", 547, _xlfn.TEXTAFTER(L503," ",1) = "Years", _xlfn.NUMBERVALUE(_xlfn.TEXTBEFORE(L503," ",1))*365), "")</f>
        <v/>
      </c>
    </row>
    <row r="504" spans="15:15" ht="16.3" x14ac:dyDescent="0.25">
      <c r="O504" s="48" t="str" cm="1">
        <f t="array" ref="O504" xml:space="preserve"> IF(AND($L504 &lt;&gt; "", $L504 &lt;&gt; "Removed"), N504 + _xlfn.IFS(_xlfn.TEXTAFTER(L504," ",1) = "Days", _xlfn.NUMBERVALUE(_xlfn.TEXTBEFORE(L504," ",1)), L504="18 Months", 547, _xlfn.TEXTAFTER(L504," ",1) = "Years", _xlfn.NUMBERVALUE(_xlfn.TEXTBEFORE(L504," ",1))*365), "")</f>
        <v/>
      </c>
    </row>
    <row r="505" spans="15:15" ht="16.3" x14ac:dyDescent="0.25">
      <c r="O505" s="48" t="str" cm="1">
        <f t="array" ref="O505" xml:space="preserve"> IF(AND($L505 &lt;&gt; "", $L505 &lt;&gt; "Removed"), N505 + _xlfn.IFS(_xlfn.TEXTAFTER(L505," ",1) = "Days", _xlfn.NUMBERVALUE(_xlfn.TEXTBEFORE(L505," ",1)), L505="18 Months", 547, _xlfn.TEXTAFTER(L505," ",1) = "Years", _xlfn.NUMBERVALUE(_xlfn.TEXTBEFORE(L505," ",1))*365), "")</f>
        <v/>
      </c>
    </row>
    <row r="506" spans="15:15" ht="16.3" x14ac:dyDescent="0.25">
      <c r="O506" s="48" t="str" cm="1">
        <f t="array" ref="O506" xml:space="preserve"> IF(AND($L506 &lt;&gt; "", $L506 &lt;&gt; "Removed"), N506 + _xlfn.IFS(_xlfn.TEXTAFTER(L506," ",1) = "Days", _xlfn.NUMBERVALUE(_xlfn.TEXTBEFORE(L506," ",1)), L506="18 Months", 547, _xlfn.TEXTAFTER(L506," ",1) = "Years", _xlfn.NUMBERVALUE(_xlfn.TEXTBEFORE(L506," ",1))*365), "")</f>
        <v/>
      </c>
    </row>
    <row r="507" spans="15:15" ht="16.3" x14ac:dyDescent="0.25">
      <c r="O507" s="48" t="str" cm="1">
        <f t="array" ref="O507" xml:space="preserve"> IF(AND($L507 &lt;&gt; "", $L507 &lt;&gt; "Removed"), N507 + _xlfn.IFS(_xlfn.TEXTAFTER(L507," ",1) = "Days", _xlfn.NUMBERVALUE(_xlfn.TEXTBEFORE(L507," ",1)), L507="18 Months", 547, _xlfn.TEXTAFTER(L507," ",1) = "Years", _xlfn.NUMBERVALUE(_xlfn.TEXTBEFORE(L507," ",1))*365), "")</f>
        <v/>
      </c>
    </row>
    <row r="508" spans="15:15" ht="16.3" x14ac:dyDescent="0.25">
      <c r="O508" s="48" t="str" cm="1">
        <f t="array" ref="O508" xml:space="preserve"> IF(AND($L508 &lt;&gt; "", $L508 &lt;&gt; "Removed"), N508 + _xlfn.IFS(_xlfn.TEXTAFTER(L508," ",1) = "Days", _xlfn.NUMBERVALUE(_xlfn.TEXTBEFORE(L508," ",1)), L508="18 Months", 547, _xlfn.TEXTAFTER(L508," ",1) = "Years", _xlfn.NUMBERVALUE(_xlfn.TEXTBEFORE(L508," ",1))*365), "")</f>
        <v/>
      </c>
    </row>
    <row r="509" spans="15:15" ht="16.3" x14ac:dyDescent="0.25">
      <c r="O509" s="48" t="str" cm="1">
        <f t="array" ref="O509" xml:space="preserve"> IF(AND($L509 &lt;&gt; "", $L509 &lt;&gt; "Removed"), N509 + _xlfn.IFS(_xlfn.TEXTAFTER(L509," ",1) = "Days", _xlfn.NUMBERVALUE(_xlfn.TEXTBEFORE(L509," ",1)), L509="18 Months", 547, _xlfn.TEXTAFTER(L509," ",1) = "Years", _xlfn.NUMBERVALUE(_xlfn.TEXTBEFORE(L509," ",1))*365), "")</f>
        <v/>
      </c>
    </row>
    <row r="510" spans="15:15" ht="16.3" x14ac:dyDescent="0.25">
      <c r="O510" s="48" t="str" cm="1">
        <f t="array" ref="O510" xml:space="preserve"> IF(AND($L510 &lt;&gt; "", $L510 &lt;&gt; "Removed"), N510 + _xlfn.IFS(_xlfn.TEXTAFTER(L510," ",1) = "Days", _xlfn.NUMBERVALUE(_xlfn.TEXTBEFORE(L510," ",1)), L510="18 Months", 547, _xlfn.TEXTAFTER(L510," ",1) = "Years", _xlfn.NUMBERVALUE(_xlfn.TEXTBEFORE(L510," ",1))*365), "")</f>
        <v/>
      </c>
    </row>
    <row r="511" spans="15:15" ht="16.3" x14ac:dyDescent="0.25">
      <c r="O511" s="48" t="str" cm="1">
        <f t="array" ref="O511" xml:space="preserve"> IF(AND($L511 &lt;&gt; "", $L511 &lt;&gt; "Removed"), N511 + _xlfn.IFS(_xlfn.TEXTAFTER(L511," ",1) = "Days", _xlfn.NUMBERVALUE(_xlfn.TEXTBEFORE(L511," ",1)), L511="18 Months", 547, _xlfn.TEXTAFTER(L511," ",1) = "Years", _xlfn.NUMBERVALUE(_xlfn.TEXTBEFORE(L511," ",1))*365), "")</f>
        <v/>
      </c>
    </row>
    <row r="512" spans="15:15" ht="16.3" x14ac:dyDescent="0.25">
      <c r="O512" s="48" t="str" cm="1">
        <f t="array" ref="O512" xml:space="preserve"> IF(AND($L512 &lt;&gt; "", $L512 &lt;&gt; "Removed"), N512 + _xlfn.IFS(_xlfn.TEXTAFTER(L512," ",1) = "Days", _xlfn.NUMBERVALUE(_xlfn.TEXTBEFORE(L512," ",1)), L512="18 Months", 547, _xlfn.TEXTAFTER(L512," ",1) = "Years", _xlfn.NUMBERVALUE(_xlfn.TEXTBEFORE(L512," ",1))*365), "")</f>
        <v/>
      </c>
    </row>
    <row r="513" spans="15:15" ht="16.3" x14ac:dyDescent="0.25">
      <c r="O513" s="48" t="str" cm="1">
        <f t="array" ref="O513" xml:space="preserve"> IF(AND($L513 &lt;&gt; "", $L513 &lt;&gt; "Removed"), N513 + _xlfn.IFS(_xlfn.TEXTAFTER(L513," ",1) = "Days", _xlfn.NUMBERVALUE(_xlfn.TEXTBEFORE(L513," ",1)), L513="18 Months", 547, _xlfn.TEXTAFTER(L513," ",1) = "Years", _xlfn.NUMBERVALUE(_xlfn.TEXTBEFORE(L513," ",1))*365), "")</f>
        <v/>
      </c>
    </row>
    <row r="514" spans="15:15" ht="16.3" x14ac:dyDescent="0.25">
      <c r="O514" s="48" t="str" cm="1">
        <f t="array" ref="O514" xml:space="preserve"> IF(AND($L514 &lt;&gt; "", $L514 &lt;&gt; "Removed"), N514 + _xlfn.IFS(_xlfn.TEXTAFTER(L514," ",1) = "Days", _xlfn.NUMBERVALUE(_xlfn.TEXTBEFORE(L514," ",1)), L514="18 Months", 547, _xlfn.TEXTAFTER(L514," ",1) = "Years", _xlfn.NUMBERVALUE(_xlfn.TEXTBEFORE(L514," ",1))*365), "")</f>
        <v/>
      </c>
    </row>
    <row r="515" spans="15:15" ht="16.3" x14ac:dyDescent="0.25">
      <c r="O515" s="48" t="str" cm="1">
        <f t="array" ref="O515" xml:space="preserve"> IF(AND($L515 &lt;&gt; "", $L515 &lt;&gt; "Removed"), N515 + _xlfn.IFS(_xlfn.TEXTAFTER(L515," ",1) = "Days", _xlfn.NUMBERVALUE(_xlfn.TEXTBEFORE(L515," ",1)), L515="18 Months", 547, _xlfn.TEXTAFTER(L515," ",1) = "Years", _xlfn.NUMBERVALUE(_xlfn.TEXTBEFORE(L515," ",1))*365), "")</f>
        <v/>
      </c>
    </row>
    <row r="516" spans="15:15" ht="16.3" x14ac:dyDescent="0.25">
      <c r="O516" s="48" t="str" cm="1">
        <f t="array" ref="O516" xml:space="preserve"> IF(AND($L516 &lt;&gt; "", $L516 &lt;&gt; "Removed"), N516 + _xlfn.IFS(_xlfn.TEXTAFTER(L516," ",1) = "Days", _xlfn.NUMBERVALUE(_xlfn.TEXTBEFORE(L516," ",1)), L516="18 Months", 547, _xlfn.TEXTAFTER(L516," ",1) = "Years", _xlfn.NUMBERVALUE(_xlfn.TEXTBEFORE(L516," ",1))*365), "")</f>
        <v/>
      </c>
    </row>
    <row r="517" spans="15:15" ht="16.3" x14ac:dyDescent="0.25">
      <c r="O517" s="48" t="str" cm="1">
        <f t="array" ref="O517" xml:space="preserve"> IF(AND($L517 &lt;&gt; "", $L517 &lt;&gt; "Removed"), N517 + _xlfn.IFS(_xlfn.TEXTAFTER(L517," ",1) = "Days", _xlfn.NUMBERVALUE(_xlfn.TEXTBEFORE(L517," ",1)), L517="18 Months", 547, _xlfn.TEXTAFTER(L517," ",1) = "Years", _xlfn.NUMBERVALUE(_xlfn.TEXTBEFORE(L517," ",1))*365), "")</f>
        <v/>
      </c>
    </row>
    <row r="518" spans="15:15" ht="16.3" x14ac:dyDescent="0.25">
      <c r="O518" s="48" t="str" cm="1">
        <f t="array" ref="O518" xml:space="preserve"> IF(AND($L518 &lt;&gt; "", $L518 &lt;&gt; "Removed"), N518 + _xlfn.IFS(_xlfn.TEXTAFTER(L518," ",1) = "Days", _xlfn.NUMBERVALUE(_xlfn.TEXTBEFORE(L518," ",1)), L518="18 Months", 547, _xlfn.TEXTAFTER(L518," ",1) = "Years", _xlfn.NUMBERVALUE(_xlfn.TEXTBEFORE(L518," ",1))*365), "")</f>
        <v/>
      </c>
    </row>
    <row r="519" spans="15:15" ht="16.3" x14ac:dyDescent="0.25">
      <c r="O519" s="48" t="str" cm="1">
        <f t="array" ref="O519" xml:space="preserve"> IF(AND($L519 &lt;&gt; "", $L519 &lt;&gt; "Removed"), N519 + _xlfn.IFS(_xlfn.TEXTAFTER(L519," ",1) = "Days", _xlfn.NUMBERVALUE(_xlfn.TEXTBEFORE(L519," ",1)), L519="18 Months", 547, _xlfn.TEXTAFTER(L519," ",1) = "Years", _xlfn.NUMBERVALUE(_xlfn.TEXTBEFORE(L519," ",1))*365), "")</f>
        <v/>
      </c>
    </row>
    <row r="520" spans="15:15" ht="16.3" x14ac:dyDescent="0.25">
      <c r="O520" s="48" t="str" cm="1">
        <f t="array" ref="O520" xml:space="preserve"> IF(AND($L520 &lt;&gt; "", $L520 &lt;&gt; "Removed"), N520 + _xlfn.IFS(_xlfn.TEXTAFTER(L520," ",1) = "Days", _xlfn.NUMBERVALUE(_xlfn.TEXTBEFORE(L520," ",1)), L520="18 Months", 547, _xlfn.TEXTAFTER(L520," ",1) = "Years", _xlfn.NUMBERVALUE(_xlfn.TEXTBEFORE(L520," ",1))*365), "")</f>
        <v/>
      </c>
    </row>
    <row r="521" spans="15:15" ht="16.3" x14ac:dyDescent="0.25">
      <c r="O521" s="48" t="str" cm="1">
        <f t="array" ref="O521" xml:space="preserve"> IF(AND($L521 &lt;&gt; "", $L521 &lt;&gt; "Removed"), N521 + _xlfn.IFS(_xlfn.TEXTAFTER(L521," ",1) = "Days", _xlfn.NUMBERVALUE(_xlfn.TEXTBEFORE(L521," ",1)), L521="18 Months", 547, _xlfn.TEXTAFTER(L521," ",1) = "Years", _xlfn.NUMBERVALUE(_xlfn.TEXTBEFORE(L521," ",1))*365), "")</f>
        <v/>
      </c>
    </row>
    <row r="522" spans="15:15" ht="16.3" x14ac:dyDescent="0.25">
      <c r="O522" s="48" t="str" cm="1">
        <f t="array" ref="O522" xml:space="preserve"> IF(AND($L522 &lt;&gt; "", $L522 &lt;&gt; "Removed"), N522 + _xlfn.IFS(_xlfn.TEXTAFTER(L522," ",1) = "Days", _xlfn.NUMBERVALUE(_xlfn.TEXTBEFORE(L522," ",1)), L522="18 Months", 547, _xlfn.TEXTAFTER(L522," ",1) = "Years", _xlfn.NUMBERVALUE(_xlfn.TEXTBEFORE(L522," ",1))*365), "")</f>
        <v/>
      </c>
    </row>
    <row r="523" spans="15:15" ht="16.3" x14ac:dyDescent="0.25">
      <c r="O523" s="48" t="str" cm="1">
        <f t="array" ref="O523" xml:space="preserve"> IF(AND($L523 &lt;&gt; "", $L523 &lt;&gt; "Removed"), N523 + _xlfn.IFS(_xlfn.TEXTAFTER(L523," ",1) = "Days", _xlfn.NUMBERVALUE(_xlfn.TEXTBEFORE(L523," ",1)), L523="18 Months", 547, _xlfn.TEXTAFTER(L523," ",1) = "Years", _xlfn.NUMBERVALUE(_xlfn.TEXTBEFORE(L523," ",1))*365), "")</f>
        <v/>
      </c>
    </row>
    <row r="524" spans="15:15" ht="16.3" x14ac:dyDescent="0.25">
      <c r="O524" s="48" t="str" cm="1">
        <f t="array" ref="O524" xml:space="preserve"> IF(AND($L524 &lt;&gt; "", $L524 &lt;&gt; "Removed"), N524 + _xlfn.IFS(_xlfn.TEXTAFTER(L524," ",1) = "Days", _xlfn.NUMBERVALUE(_xlfn.TEXTBEFORE(L524," ",1)), L524="18 Months", 547, _xlfn.TEXTAFTER(L524," ",1) = "Years", _xlfn.NUMBERVALUE(_xlfn.TEXTBEFORE(L524," ",1))*365), "")</f>
        <v/>
      </c>
    </row>
    <row r="525" spans="15:15" ht="16.3" x14ac:dyDescent="0.25">
      <c r="O525" s="48" t="str" cm="1">
        <f t="array" ref="O525" xml:space="preserve"> IF(AND($L525 &lt;&gt; "", $L525 &lt;&gt; "Removed"), N525 + _xlfn.IFS(_xlfn.TEXTAFTER(L525," ",1) = "Days", _xlfn.NUMBERVALUE(_xlfn.TEXTBEFORE(L525," ",1)), L525="18 Months", 547, _xlfn.TEXTAFTER(L525," ",1) = "Years", _xlfn.NUMBERVALUE(_xlfn.TEXTBEFORE(L525," ",1))*365), "")</f>
        <v/>
      </c>
    </row>
    <row r="526" spans="15:15" ht="16.3" x14ac:dyDescent="0.25">
      <c r="O526" s="48" t="str" cm="1">
        <f t="array" ref="O526" xml:space="preserve"> IF(AND($L526 &lt;&gt; "", $L526 &lt;&gt; "Removed"), N526 + _xlfn.IFS(_xlfn.TEXTAFTER(L526," ",1) = "Days", _xlfn.NUMBERVALUE(_xlfn.TEXTBEFORE(L526," ",1)), L526="18 Months", 547, _xlfn.TEXTAFTER(L526," ",1) = "Years", _xlfn.NUMBERVALUE(_xlfn.TEXTBEFORE(L526," ",1))*365), "")</f>
        <v/>
      </c>
    </row>
    <row r="527" spans="15:15" ht="16.3" x14ac:dyDescent="0.25">
      <c r="O527" s="48" t="str" cm="1">
        <f t="array" ref="O527" xml:space="preserve"> IF(AND($L527 &lt;&gt; "", $L527 &lt;&gt; "Removed"), N527 + _xlfn.IFS(_xlfn.TEXTAFTER(L527," ",1) = "Days", _xlfn.NUMBERVALUE(_xlfn.TEXTBEFORE(L527," ",1)), L527="18 Months", 547, _xlfn.TEXTAFTER(L527," ",1) = "Years", _xlfn.NUMBERVALUE(_xlfn.TEXTBEFORE(L527," ",1))*365), "")</f>
        <v/>
      </c>
    </row>
    <row r="528" spans="15:15" ht="16.3" x14ac:dyDescent="0.25">
      <c r="O528" s="48" t="str" cm="1">
        <f t="array" ref="O528" xml:space="preserve"> IF(AND($L528 &lt;&gt; "", $L528 &lt;&gt; "Removed"), N528 + _xlfn.IFS(_xlfn.TEXTAFTER(L528," ",1) = "Days", _xlfn.NUMBERVALUE(_xlfn.TEXTBEFORE(L528," ",1)), L528="18 Months", 547, _xlfn.TEXTAFTER(L528," ",1) = "Years", _xlfn.NUMBERVALUE(_xlfn.TEXTBEFORE(L528," ",1))*365), "")</f>
        <v/>
      </c>
    </row>
    <row r="529" spans="15:15" ht="16.3" x14ac:dyDescent="0.25">
      <c r="O529" s="48" t="str" cm="1">
        <f t="array" ref="O529" xml:space="preserve"> IF(AND($L529 &lt;&gt; "", $L529 &lt;&gt; "Removed"), N529 + _xlfn.IFS(_xlfn.TEXTAFTER(L529," ",1) = "Days", _xlfn.NUMBERVALUE(_xlfn.TEXTBEFORE(L529," ",1)), L529="18 Months", 547, _xlfn.TEXTAFTER(L529," ",1) = "Years", _xlfn.NUMBERVALUE(_xlfn.TEXTBEFORE(L529," ",1))*365), "")</f>
        <v/>
      </c>
    </row>
    <row r="530" spans="15:15" ht="16.3" x14ac:dyDescent="0.25">
      <c r="O530" s="48" t="str" cm="1">
        <f t="array" ref="O530" xml:space="preserve"> IF(AND($L530 &lt;&gt; "", $L530 &lt;&gt; "Removed"), N530 + _xlfn.IFS(_xlfn.TEXTAFTER(L530," ",1) = "Days", _xlfn.NUMBERVALUE(_xlfn.TEXTBEFORE(L530," ",1)), L530="18 Months", 547, _xlfn.TEXTAFTER(L530," ",1) = "Years", _xlfn.NUMBERVALUE(_xlfn.TEXTBEFORE(L530," ",1))*365), "")</f>
        <v/>
      </c>
    </row>
    <row r="531" spans="15:15" ht="16.3" x14ac:dyDescent="0.25">
      <c r="O531" s="48" t="str" cm="1">
        <f t="array" ref="O531" xml:space="preserve"> IF(AND($L531 &lt;&gt; "", $L531 &lt;&gt; "Removed"), N531 + _xlfn.IFS(_xlfn.TEXTAFTER(L531," ",1) = "Days", _xlfn.NUMBERVALUE(_xlfn.TEXTBEFORE(L531," ",1)), L531="18 Months", 547, _xlfn.TEXTAFTER(L531," ",1) = "Years", _xlfn.NUMBERVALUE(_xlfn.TEXTBEFORE(L531," ",1))*365), "")</f>
        <v/>
      </c>
    </row>
    <row r="532" spans="15:15" ht="16.3" x14ac:dyDescent="0.25">
      <c r="O532" s="48" t="str" cm="1">
        <f t="array" ref="O532" xml:space="preserve"> IF(AND($L532 &lt;&gt; "", $L532 &lt;&gt; "Removed"), N532 + _xlfn.IFS(_xlfn.TEXTAFTER(L532," ",1) = "Days", _xlfn.NUMBERVALUE(_xlfn.TEXTBEFORE(L532," ",1)), L532="18 Months", 547, _xlfn.TEXTAFTER(L532," ",1) = "Years", _xlfn.NUMBERVALUE(_xlfn.TEXTBEFORE(L532," ",1))*365), "")</f>
        <v/>
      </c>
    </row>
    <row r="533" spans="15:15" ht="16.3" x14ac:dyDescent="0.25">
      <c r="O533" s="48" t="str" cm="1">
        <f t="array" ref="O533" xml:space="preserve"> IF(AND($L533 &lt;&gt; "", $L533 &lt;&gt; "Removed"), N533 + _xlfn.IFS(_xlfn.TEXTAFTER(L533," ",1) = "Days", _xlfn.NUMBERVALUE(_xlfn.TEXTBEFORE(L533," ",1)), L533="18 Months", 547, _xlfn.TEXTAFTER(L533," ",1) = "Years", _xlfn.NUMBERVALUE(_xlfn.TEXTBEFORE(L533," ",1))*365), "")</f>
        <v/>
      </c>
    </row>
    <row r="534" spans="15:15" ht="16.3" x14ac:dyDescent="0.25">
      <c r="O534" s="48" t="str" cm="1">
        <f t="array" ref="O534" xml:space="preserve"> IF(AND($L534 &lt;&gt; "", $L534 &lt;&gt; "Removed"), N534 + _xlfn.IFS(_xlfn.TEXTAFTER(L534," ",1) = "Days", _xlfn.NUMBERVALUE(_xlfn.TEXTBEFORE(L534," ",1)), L534="18 Months", 547, _xlfn.TEXTAFTER(L534," ",1) = "Years", _xlfn.NUMBERVALUE(_xlfn.TEXTBEFORE(L534," ",1))*365), "")</f>
        <v/>
      </c>
    </row>
    <row r="535" spans="15:15" ht="16.3" x14ac:dyDescent="0.25">
      <c r="O535" s="48" t="str" cm="1">
        <f t="array" ref="O535" xml:space="preserve"> IF(AND($L535 &lt;&gt; "", $L535 &lt;&gt; "Removed"), N535 + _xlfn.IFS(_xlfn.TEXTAFTER(L535," ",1) = "Days", _xlfn.NUMBERVALUE(_xlfn.TEXTBEFORE(L535," ",1)), L535="18 Months", 547, _xlfn.TEXTAFTER(L535," ",1) = "Years", _xlfn.NUMBERVALUE(_xlfn.TEXTBEFORE(L535," ",1))*365), "")</f>
        <v/>
      </c>
    </row>
    <row r="536" spans="15:15" ht="16.3" x14ac:dyDescent="0.25">
      <c r="O536" s="48" t="str" cm="1">
        <f t="array" ref="O536" xml:space="preserve"> IF(AND($L536 &lt;&gt; "", $L536 &lt;&gt; "Removed"), N536 + _xlfn.IFS(_xlfn.TEXTAFTER(L536," ",1) = "Days", _xlfn.NUMBERVALUE(_xlfn.TEXTBEFORE(L536," ",1)), L536="18 Months", 547, _xlfn.TEXTAFTER(L536," ",1) = "Years", _xlfn.NUMBERVALUE(_xlfn.TEXTBEFORE(L536," ",1))*365), "")</f>
        <v/>
      </c>
    </row>
    <row r="537" spans="15:15" ht="16.3" x14ac:dyDescent="0.25">
      <c r="O537" s="48" t="str" cm="1">
        <f t="array" ref="O537" xml:space="preserve"> IF(AND($L537 &lt;&gt; "", $L537 &lt;&gt; "Removed"), N537 + _xlfn.IFS(_xlfn.TEXTAFTER(L537," ",1) = "Days", _xlfn.NUMBERVALUE(_xlfn.TEXTBEFORE(L537," ",1)), L537="18 Months", 547, _xlfn.TEXTAFTER(L537," ",1) = "Years", _xlfn.NUMBERVALUE(_xlfn.TEXTBEFORE(L537," ",1))*365), "")</f>
        <v/>
      </c>
    </row>
    <row r="538" spans="15:15" ht="16.3" x14ac:dyDescent="0.25">
      <c r="O538" s="48" t="str" cm="1">
        <f t="array" ref="O538" xml:space="preserve"> IF(AND($L538 &lt;&gt; "", $L538 &lt;&gt; "Removed"), N538 + _xlfn.IFS(_xlfn.TEXTAFTER(L538," ",1) = "Days", _xlfn.NUMBERVALUE(_xlfn.TEXTBEFORE(L538," ",1)), L538="18 Months", 547, _xlfn.TEXTAFTER(L538," ",1) = "Years", _xlfn.NUMBERVALUE(_xlfn.TEXTBEFORE(L538," ",1))*365), "")</f>
        <v/>
      </c>
    </row>
    <row r="539" spans="15:15" ht="16.3" x14ac:dyDescent="0.25">
      <c r="O539" s="48" t="str" cm="1">
        <f t="array" ref="O539" xml:space="preserve"> IF(AND($L539 &lt;&gt; "", $L539 &lt;&gt; "Removed"), N539 + _xlfn.IFS(_xlfn.TEXTAFTER(L539," ",1) = "Days", _xlfn.NUMBERVALUE(_xlfn.TEXTBEFORE(L539," ",1)), L539="18 Months", 547, _xlfn.TEXTAFTER(L539," ",1) = "Years", _xlfn.NUMBERVALUE(_xlfn.TEXTBEFORE(L539," ",1))*365), "")</f>
        <v/>
      </c>
    </row>
    <row r="540" spans="15:15" ht="16.3" x14ac:dyDescent="0.25">
      <c r="O540" s="48" t="str" cm="1">
        <f t="array" ref="O540" xml:space="preserve"> IF(AND($L540 &lt;&gt; "", $L540 &lt;&gt; "Removed"), N540 + _xlfn.IFS(_xlfn.TEXTAFTER(L540," ",1) = "Days", _xlfn.NUMBERVALUE(_xlfn.TEXTBEFORE(L540," ",1)), L540="18 Months", 547, _xlfn.TEXTAFTER(L540," ",1) = "Years", _xlfn.NUMBERVALUE(_xlfn.TEXTBEFORE(L540," ",1))*365), "")</f>
        <v/>
      </c>
    </row>
    <row r="541" spans="15:15" ht="16.3" x14ac:dyDescent="0.25">
      <c r="O541" s="48" t="str" cm="1">
        <f t="array" ref="O541" xml:space="preserve"> IF(AND($L541 &lt;&gt; "", $L541 &lt;&gt; "Removed"), N541 + _xlfn.IFS(_xlfn.TEXTAFTER(L541," ",1) = "Days", _xlfn.NUMBERVALUE(_xlfn.TEXTBEFORE(L541," ",1)), L541="18 Months", 547, _xlfn.TEXTAFTER(L541," ",1) = "Years", _xlfn.NUMBERVALUE(_xlfn.TEXTBEFORE(L541," ",1))*365), "")</f>
        <v/>
      </c>
    </row>
    <row r="542" spans="15:15" ht="16.3" x14ac:dyDescent="0.25">
      <c r="O542" s="48" t="str" cm="1">
        <f t="array" ref="O542" xml:space="preserve"> IF(AND($L542 &lt;&gt; "", $L542 &lt;&gt; "Removed"), N542 + _xlfn.IFS(_xlfn.TEXTAFTER(L542," ",1) = "Days", _xlfn.NUMBERVALUE(_xlfn.TEXTBEFORE(L542," ",1)), L542="18 Months", 547, _xlfn.TEXTAFTER(L542," ",1) = "Years", _xlfn.NUMBERVALUE(_xlfn.TEXTBEFORE(L542," ",1))*365), "")</f>
        <v/>
      </c>
    </row>
    <row r="543" spans="15:15" ht="16.3" x14ac:dyDescent="0.25">
      <c r="O543" s="48" t="str" cm="1">
        <f t="array" ref="O543" xml:space="preserve"> IF(AND($L543 &lt;&gt; "", $L543 &lt;&gt; "Removed"), N543 + _xlfn.IFS(_xlfn.TEXTAFTER(L543," ",1) = "Days", _xlfn.NUMBERVALUE(_xlfn.TEXTBEFORE(L543," ",1)), L543="18 Months", 547, _xlfn.TEXTAFTER(L543," ",1) = "Years", _xlfn.NUMBERVALUE(_xlfn.TEXTBEFORE(L543," ",1))*365), "")</f>
        <v/>
      </c>
    </row>
    <row r="544" spans="15:15" ht="16.3" x14ac:dyDescent="0.25">
      <c r="O544" s="48" t="str" cm="1">
        <f t="array" ref="O544" xml:space="preserve"> IF(AND($L544 &lt;&gt; "", $L544 &lt;&gt; "Removed"), N544 + _xlfn.IFS(_xlfn.TEXTAFTER(L544," ",1) = "Days", _xlfn.NUMBERVALUE(_xlfn.TEXTBEFORE(L544," ",1)), L544="18 Months", 547, _xlfn.TEXTAFTER(L544," ",1) = "Years", _xlfn.NUMBERVALUE(_xlfn.TEXTBEFORE(L544," ",1))*365), "")</f>
        <v/>
      </c>
    </row>
    <row r="545" spans="15:15" ht="16.3" x14ac:dyDescent="0.25">
      <c r="O545" s="48" t="str" cm="1">
        <f t="array" ref="O545" xml:space="preserve"> IF(AND($L545 &lt;&gt; "", $L545 &lt;&gt; "Removed"), N545 + _xlfn.IFS(_xlfn.TEXTAFTER(L545," ",1) = "Days", _xlfn.NUMBERVALUE(_xlfn.TEXTBEFORE(L545," ",1)), L545="18 Months", 547, _xlfn.TEXTAFTER(L545," ",1) = "Years", _xlfn.NUMBERVALUE(_xlfn.TEXTBEFORE(L545," ",1))*365), "")</f>
        <v/>
      </c>
    </row>
    <row r="546" spans="15:15" ht="16.3" x14ac:dyDescent="0.25">
      <c r="O546" s="48" t="str" cm="1">
        <f t="array" ref="O546" xml:space="preserve"> IF(AND($L546 &lt;&gt; "", $L546 &lt;&gt; "Removed"), N546 + _xlfn.IFS(_xlfn.TEXTAFTER(L546," ",1) = "Days", _xlfn.NUMBERVALUE(_xlfn.TEXTBEFORE(L546," ",1)), L546="18 Months", 547, _xlfn.TEXTAFTER(L546," ",1) = "Years", _xlfn.NUMBERVALUE(_xlfn.TEXTBEFORE(L546," ",1))*365), "")</f>
        <v/>
      </c>
    </row>
    <row r="547" spans="15:15" ht="16.3" x14ac:dyDescent="0.25">
      <c r="O547" s="48" t="str" cm="1">
        <f t="array" ref="O547" xml:space="preserve"> IF(AND($L547 &lt;&gt; "", $L547 &lt;&gt; "Removed"), N547 + _xlfn.IFS(_xlfn.TEXTAFTER(L547," ",1) = "Days", _xlfn.NUMBERVALUE(_xlfn.TEXTBEFORE(L547," ",1)), L547="18 Months", 547, _xlfn.TEXTAFTER(L547," ",1) = "Years", _xlfn.NUMBERVALUE(_xlfn.TEXTBEFORE(L547," ",1))*365), "")</f>
        <v/>
      </c>
    </row>
    <row r="548" spans="15:15" ht="16.3" x14ac:dyDescent="0.25">
      <c r="O548" s="48" t="str" cm="1">
        <f t="array" ref="O548" xml:space="preserve"> IF(AND($L548 &lt;&gt; "", $L548 &lt;&gt; "Removed"), N548 + _xlfn.IFS(_xlfn.TEXTAFTER(L548," ",1) = "Days", _xlfn.NUMBERVALUE(_xlfn.TEXTBEFORE(L548," ",1)), L548="18 Months", 547, _xlfn.TEXTAFTER(L548," ",1) = "Years", _xlfn.NUMBERVALUE(_xlfn.TEXTBEFORE(L548," ",1))*365), "")</f>
        <v/>
      </c>
    </row>
    <row r="549" spans="15:15" ht="16.3" x14ac:dyDescent="0.25">
      <c r="O549" s="48" t="str" cm="1">
        <f t="array" ref="O549" xml:space="preserve"> IF(AND($L549 &lt;&gt; "", $L549 &lt;&gt; "Removed"), N549 + _xlfn.IFS(_xlfn.TEXTAFTER(L549," ",1) = "Days", _xlfn.NUMBERVALUE(_xlfn.TEXTBEFORE(L549," ",1)), L549="18 Months", 547, _xlfn.TEXTAFTER(L549," ",1) = "Years", _xlfn.NUMBERVALUE(_xlfn.TEXTBEFORE(L549," ",1))*365), "")</f>
        <v/>
      </c>
    </row>
    <row r="550" spans="15:15" ht="16.3" x14ac:dyDescent="0.25">
      <c r="O550" s="48" t="str" cm="1">
        <f t="array" ref="O550" xml:space="preserve"> IF(AND($L550 &lt;&gt; "", $L550 &lt;&gt; "Removed"), N550 + _xlfn.IFS(_xlfn.TEXTAFTER(L550," ",1) = "Days", _xlfn.NUMBERVALUE(_xlfn.TEXTBEFORE(L550," ",1)), L550="18 Months", 547, _xlfn.TEXTAFTER(L550," ",1) = "Years", _xlfn.NUMBERVALUE(_xlfn.TEXTBEFORE(L550," ",1))*365), "")</f>
        <v/>
      </c>
    </row>
    <row r="551" spans="15:15" ht="16.3" x14ac:dyDescent="0.25">
      <c r="O551" s="48" t="str" cm="1">
        <f t="array" ref="O551" xml:space="preserve"> IF(AND($L551 &lt;&gt; "", $L551 &lt;&gt; "Removed"), N551 + _xlfn.IFS(_xlfn.TEXTAFTER(L551," ",1) = "Days", _xlfn.NUMBERVALUE(_xlfn.TEXTBEFORE(L551," ",1)), L551="18 Months", 547, _xlfn.TEXTAFTER(L551," ",1) = "Years", _xlfn.NUMBERVALUE(_xlfn.TEXTBEFORE(L551," ",1))*365), "")</f>
        <v/>
      </c>
    </row>
    <row r="552" spans="15:15" ht="16.3" x14ac:dyDescent="0.25">
      <c r="O552" s="48" t="str" cm="1">
        <f t="array" ref="O552" xml:space="preserve"> IF(AND($L552 &lt;&gt; "", $L552 &lt;&gt; "Removed"), N552 + _xlfn.IFS(_xlfn.TEXTAFTER(L552," ",1) = "Days", _xlfn.NUMBERVALUE(_xlfn.TEXTBEFORE(L552," ",1)), L552="18 Months", 547, _xlfn.TEXTAFTER(L552," ",1) = "Years", _xlfn.NUMBERVALUE(_xlfn.TEXTBEFORE(L552," ",1))*365), "")</f>
        <v/>
      </c>
    </row>
    <row r="553" spans="15:15" ht="16.3" x14ac:dyDescent="0.25">
      <c r="O553" s="48" t="str" cm="1">
        <f t="array" ref="O553" xml:space="preserve"> IF(AND($L553 &lt;&gt; "", $L553 &lt;&gt; "Removed"), N553 + _xlfn.IFS(_xlfn.TEXTAFTER(L553," ",1) = "Days", _xlfn.NUMBERVALUE(_xlfn.TEXTBEFORE(L553," ",1)), L553="18 Months", 547, _xlfn.TEXTAFTER(L553," ",1) = "Years", _xlfn.NUMBERVALUE(_xlfn.TEXTBEFORE(L553," ",1))*365), "")</f>
        <v/>
      </c>
    </row>
    <row r="554" spans="15:15" ht="16.3" x14ac:dyDescent="0.25">
      <c r="O554" s="48" t="str" cm="1">
        <f t="array" ref="O554" xml:space="preserve"> IF(AND($L554 &lt;&gt; "", $L554 &lt;&gt; "Removed"), N554 + _xlfn.IFS(_xlfn.TEXTAFTER(L554," ",1) = "Days", _xlfn.NUMBERVALUE(_xlfn.TEXTBEFORE(L554," ",1)), L554="18 Months", 547, _xlfn.TEXTAFTER(L554," ",1) = "Years", _xlfn.NUMBERVALUE(_xlfn.TEXTBEFORE(L554," ",1))*365), "")</f>
        <v/>
      </c>
    </row>
    <row r="555" spans="15:15" ht="16.3" x14ac:dyDescent="0.25">
      <c r="O555" s="48" t="str" cm="1">
        <f t="array" ref="O555" xml:space="preserve"> IF(AND($L555 &lt;&gt; "", $L555 &lt;&gt; "Removed"), N555 + _xlfn.IFS(_xlfn.TEXTAFTER(L555," ",1) = "Days", _xlfn.NUMBERVALUE(_xlfn.TEXTBEFORE(L555," ",1)), L555="18 Months", 547, _xlfn.TEXTAFTER(L555," ",1) = "Years", _xlfn.NUMBERVALUE(_xlfn.TEXTBEFORE(L555," ",1))*365), "")</f>
        <v/>
      </c>
    </row>
    <row r="556" spans="15:15" ht="16.3" x14ac:dyDescent="0.25">
      <c r="O556" s="48" t="str" cm="1">
        <f t="array" ref="O556" xml:space="preserve"> IF(AND($L556 &lt;&gt; "", $L556 &lt;&gt; "Removed"), N556 + _xlfn.IFS(_xlfn.TEXTAFTER(L556," ",1) = "Days", _xlfn.NUMBERVALUE(_xlfn.TEXTBEFORE(L556," ",1)), L556="18 Months", 547, _xlfn.TEXTAFTER(L556," ",1) = "Years", _xlfn.NUMBERVALUE(_xlfn.TEXTBEFORE(L556," ",1))*365), "")</f>
        <v/>
      </c>
    </row>
    <row r="557" spans="15:15" ht="16.3" x14ac:dyDescent="0.25">
      <c r="O557" s="48" t="str" cm="1">
        <f t="array" ref="O557" xml:space="preserve"> IF(AND($L557 &lt;&gt; "", $L557 &lt;&gt; "Removed"), N557 + _xlfn.IFS(_xlfn.TEXTAFTER(L557," ",1) = "Days", _xlfn.NUMBERVALUE(_xlfn.TEXTBEFORE(L557," ",1)), L557="18 Months", 547, _xlfn.TEXTAFTER(L557," ",1) = "Years", _xlfn.NUMBERVALUE(_xlfn.TEXTBEFORE(L557," ",1))*365), "")</f>
        <v/>
      </c>
    </row>
    <row r="558" spans="15:15" ht="16.3" x14ac:dyDescent="0.25">
      <c r="O558" s="48" t="str" cm="1">
        <f t="array" ref="O558" xml:space="preserve"> IF(AND($L558 &lt;&gt; "", $L558 &lt;&gt; "Removed"), N558 + _xlfn.IFS(_xlfn.TEXTAFTER(L558," ",1) = "Days", _xlfn.NUMBERVALUE(_xlfn.TEXTBEFORE(L558," ",1)), L558="18 Months", 547, _xlfn.TEXTAFTER(L558," ",1) = "Years", _xlfn.NUMBERVALUE(_xlfn.TEXTBEFORE(L558," ",1))*365), "")</f>
        <v/>
      </c>
    </row>
    <row r="559" spans="15:15" ht="16.3" x14ac:dyDescent="0.25">
      <c r="O559" s="48" t="str" cm="1">
        <f t="array" ref="O559" xml:space="preserve"> IF(AND($L559 &lt;&gt; "", $L559 &lt;&gt; "Removed"), N559 + _xlfn.IFS(_xlfn.TEXTAFTER(L559," ",1) = "Days", _xlfn.NUMBERVALUE(_xlfn.TEXTBEFORE(L559," ",1)), L559="18 Months", 547, _xlfn.TEXTAFTER(L559," ",1) = "Years", _xlfn.NUMBERVALUE(_xlfn.TEXTBEFORE(L559," ",1))*365), "")</f>
        <v/>
      </c>
    </row>
    <row r="560" spans="15:15" ht="16.3" x14ac:dyDescent="0.25">
      <c r="O560" s="48" t="str" cm="1">
        <f t="array" ref="O560" xml:space="preserve"> IF(AND($L560 &lt;&gt; "", $L560 &lt;&gt; "Removed"), N560 + _xlfn.IFS(_xlfn.TEXTAFTER(L560," ",1) = "Days", _xlfn.NUMBERVALUE(_xlfn.TEXTBEFORE(L560," ",1)), L560="18 Months", 547, _xlfn.TEXTAFTER(L560," ",1) = "Years", _xlfn.NUMBERVALUE(_xlfn.TEXTBEFORE(L560," ",1))*365), "")</f>
        <v/>
      </c>
    </row>
    <row r="561" spans="15:15" ht="16.3" x14ac:dyDescent="0.25">
      <c r="O561" s="48" t="str" cm="1">
        <f t="array" ref="O561" xml:space="preserve"> IF(AND($L561 &lt;&gt; "", $L561 &lt;&gt; "Removed"), N561 + _xlfn.IFS(_xlfn.TEXTAFTER(L561," ",1) = "Days", _xlfn.NUMBERVALUE(_xlfn.TEXTBEFORE(L561," ",1)), L561="18 Months", 547, _xlfn.TEXTAFTER(L561," ",1) = "Years", _xlfn.NUMBERVALUE(_xlfn.TEXTBEFORE(L561," ",1))*365), "")</f>
        <v/>
      </c>
    </row>
    <row r="562" spans="15:15" ht="16.3" x14ac:dyDescent="0.25">
      <c r="O562" s="48" t="str" cm="1">
        <f t="array" ref="O562" xml:space="preserve"> IF(AND($L562 &lt;&gt; "", $L562 &lt;&gt; "Removed"), N562 + _xlfn.IFS(_xlfn.TEXTAFTER(L562," ",1) = "Days", _xlfn.NUMBERVALUE(_xlfn.TEXTBEFORE(L562," ",1)), L562="18 Months", 547, _xlfn.TEXTAFTER(L562," ",1) = "Years", _xlfn.NUMBERVALUE(_xlfn.TEXTBEFORE(L562," ",1))*365), "")</f>
        <v/>
      </c>
    </row>
    <row r="563" spans="15:15" ht="16.3" x14ac:dyDescent="0.25">
      <c r="O563" s="48" t="str" cm="1">
        <f t="array" ref="O563" xml:space="preserve"> IF(AND($L563 &lt;&gt; "", $L563 &lt;&gt; "Removed"), N563 + _xlfn.IFS(_xlfn.TEXTAFTER(L563," ",1) = "Days", _xlfn.NUMBERVALUE(_xlfn.TEXTBEFORE(L563," ",1)), L563="18 Months", 547, _xlfn.TEXTAFTER(L563," ",1) = "Years", _xlfn.NUMBERVALUE(_xlfn.TEXTBEFORE(L563," ",1))*365), "")</f>
        <v/>
      </c>
    </row>
    <row r="564" spans="15:15" ht="16.3" x14ac:dyDescent="0.25">
      <c r="O564" s="48" t="str" cm="1">
        <f t="array" ref="O564" xml:space="preserve"> IF(AND($L564 &lt;&gt; "", $L564 &lt;&gt; "Removed"), N564 + _xlfn.IFS(_xlfn.TEXTAFTER(L564," ",1) = "Days", _xlfn.NUMBERVALUE(_xlfn.TEXTBEFORE(L564," ",1)), L564="18 Months", 547, _xlfn.TEXTAFTER(L564," ",1) = "Years", _xlfn.NUMBERVALUE(_xlfn.TEXTBEFORE(L564," ",1))*365), "")</f>
        <v/>
      </c>
    </row>
    <row r="565" spans="15:15" ht="16.3" x14ac:dyDescent="0.25">
      <c r="O565" s="48" t="str" cm="1">
        <f t="array" ref="O565" xml:space="preserve"> IF(AND($L565 &lt;&gt; "", $L565 &lt;&gt; "Removed"), N565 + _xlfn.IFS(_xlfn.TEXTAFTER(L565," ",1) = "Days", _xlfn.NUMBERVALUE(_xlfn.TEXTBEFORE(L565," ",1)), L565="18 Months", 547, _xlfn.TEXTAFTER(L565," ",1) = "Years", _xlfn.NUMBERVALUE(_xlfn.TEXTBEFORE(L565," ",1))*365), "")</f>
        <v/>
      </c>
    </row>
    <row r="566" spans="15:15" ht="16.3" x14ac:dyDescent="0.25">
      <c r="O566" s="48" t="str" cm="1">
        <f t="array" ref="O566" xml:space="preserve"> IF(AND($L566 &lt;&gt; "", $L566 &lt;&gt; "Removed"), N566 + _xlfn.IFS(_xlfn.TEXTAFTER(L566," ",1) = "Days", _xlfn.NUMBERVALUE(_xlfn.TEXTBEFORE(L566," ",1)), L566="18 Months", 547, _xlfn.TEXTAFTER(L566," ",1) = "Years", _xlfn.NUMBERVALUE(_xlfn.TEXTBEFORE(L566," ",1))*365), "")</f>
        <v/>
      </c>
    </row>
    <row r="567" spans="15:15" ht="16.3" x14ac:dyDescent="0.25">
      <c r="O567" s="48" t="str" cm="1">
        <f t="array" ref="O567" xml:space="preserve"> IF(AND($L567 &lt;&gt; "", $L567 &lt;&gt; "Removed"), N567 + _xlfn.IFS(_xlfn.TEXTAFTER(L567," ",1) = "Days", _xlfn.NUMBERVALUE(_xlfn.TEXTBEFORE(L567," ",1)), L567="18 Months", 547, _xlfn.TEXTAFTER(L567," ",1) = "Years", _xlfn.NUMBERVALUE(_xlfn.TEXTBEFORE(L567," ",1))*365), "")</f>
        <v/>
      </c>
    </row>
    <row r="568" spans="15:15" ht="16.3" x14ac:dyDescent="0.25">
      <c r="O568" s="48" t="str" cm="1">
        <f t="array" ref="O568" xml:space="preserve"> IF(AND($L568 &lt;&gt; "", $L568 &lt;&gt; "Removed"), N568 + _xlfn.IFS(_xlfn.TEXTAFTER(L568," ",1) = "Days", _xlfn.NUMBERVALUE(_xlfn.TEXTBEFORE(L568," ",1)), L568="18 Months", 547, _xlfn.TEXTAFTER(L568," ",1) = "Years", _xlfn.NUMBERVALUE(_xlfn.TEXTBEFORE(L568," ",1))*365), "")</f>
        <v/>
      </c>
    </row>
    <row r="569" spans="15:15" ht="16.3" x14ac:dyDescent="0.25">
      <c r="O569" s="48" t="str" cm="1">
        <f t="array" ref="O569" xml:space="preserve"> IF(AND($L569 &lt;&gt; "", $L569 &lt;&gt; "Removed"), N569 + _xlfn.IFS(_xlfn.TEXTAFTER(L569," ",1) = "Days", _xlfn.NUMBERVALUE(_xlfn.TEXTBEFORE(L569," ",1)), L569="18 Months", 547, _xlfn.TEXTAFTER(L569," ",1) = "Years", _xlfn.NUMBERVALUE(_xlfn.TEXTBEFORE(L569," ",1))*365), "")</f>
        <v/>
      </c>
    </row>
    <row r="570" spans="15:15" ht="16.3" x14ac:dyDescent="0.25">
      <c r="O570" s="48" t="str" cm="1">
        <f t="array" ref="O570" xml:space="preserve"> IF(AND($L570 &lt;&gt; "", $L570 &lt;&gt; "Removed"), N570 + _xlfn.IFS(_xlfn.TEXTAFTER(L570," ",1) = "Days", _xlfn.NUMBERVALUE(_xlfn.TEXTBEFORE(L570," ",1)), L570="18 Months", 547, _xlfn.TEXTAFTER(L570," ",1) = "Years", _xlfn.NUMBERVALUE(_xlfn.TEXTBEFORE(L570," ",1))*365), "")</f>
        <v/>
      </c>
    </row>
    <row r="571" spans="15:15" ht="16.3" x14ac:dyDescent="0.25">
      <c r="O571" s="48" t="str" cm="1">
        <f t="array" ref="O571" xml:space="preserve"> IF(AND($L571 &lt;&gt; "", $L571 &lt;&gt; "Removed"), N571 + _xlfn.IFS(_xlfn.TEXTAFTER(L571," ",1) = "Days", _xlfn.NUMBERVALUE(_xlfn.TEXTBEFORE(L571," ",1)), L571="18 Months", 547, _xlfn.TEXTAFTER(L571," ",1) = "Years", _xlfn.NUMBERVALUE(_xlfn.TEXTBEFORE(L571," ",1))*365), "")</f>
        <v/>
      </c>
    </row>
    <row r="572" spans="15:15" ht="16.3" x14ac:dyDescent="0.25">
      <c r="O572" s="48" t="str" cm="1">
        <f t="array" ref="O572" xml:space="preserve"> IF(AND($L572 &lt;&gt; "", $L572 &lt;&gt; "Removed"), N572 + _xlfn.IFS(_xlfn.TEXTAFTER(L572," ",1) = "Days", _xlfn.NUMBERVALUE(_xlfn.TEXTBEFORE(L572," ",1)), L572="18 Months", 547, _xlfn.TEXTAFTER(L572," ",1) = "Years", _xlfn.NUMBERVALUE(_xlfn.TEXTBEFORE(L572," ",1))*365), "")</f>
        <v/>
      </c>
    </row>
    <row r="573" spans="15:15" ht="16.3" x14ac:dyDescent="0.25">
      <c r="O573" s="48" t="str" cm="1">
        <f t="array" ref="O573" xml:space="preserve"> IF(AND($L573 &lt;&gt; "", $L573 &lt;&gt; "Removed"), N573 + _xlfn.IFS(_xlfn.TEXTAFTER(L573," ",1) = "Days", _xlfn.NUMBERVALUE(_xlfn.TEXTBEFORE(L573," ",1)), L573="18 Months", 547, _xlfn.TEXTAFTER(L573," ",1) = "Years", _xlfn.NUMBERVALUE(_xlfn.TEXTBEFORE(L573," ",1))*365), "")</f>
        <v/>
      </c>
    </row>
    <row r="574" spans="15:15" ht="16.3" x14ac:dyDescent="0.25">
      <c r="O574" s="48" t="str" cm="1">
        <f t="array" ref="O574" xml:space="preserve"> IF(AND($L574 &lt;&gt; "", $L574 &lt;&gt; "Removed"), N574 + _xlfn.IFS(_xlfn.TEXTAFTER(L574," ",1) = "Days", _xlfn.NUMBERVALUE(_xlfn.TEXTBEFORE(L574," ",1)), L574="18 Months", 547, _xlfn.TEXTAFTER(L574," ",1) = "Years", _xlfn.NUMBERVALUE(_xlfn.TEXTBEFORE(L574," ",1))*365), "")</f>
        <v/>
      </c>
    </row>
    <row r="575" spans="15:15" ht="16.3" x14ac:dyDescent="0.25">
      <c r="O575" s="48" t="str" cm="1">
        <f t="array" ref="O575" xml:space="preserve"> IF(AND($L575 &lt;&gt; "", $L575 &lt;&gt; "Removed"), N575 + _xlfn.IFS(_xlfn.TEXTAFTER(L575," ",1) = "Days", _xlfn.NUMBERVALUE(_xlfn.TEXTBEFORE(L575," ",1)), L575="18 Months", 547, _xlfn.TEXTAFTER(L575," ",1) = "Years", _xlfn.NUMBERVALUE(_xlfn.TEXTBEFORE(L575," ",1))*365), "")</f>
        <v/>
      </c>
    </row>
    <row r="576" spans="15:15" ht="16.3" x14ac:dyDescent="0.25">
      <c r="O576" s="48" t="str" cm="1">
        <f t="array" ref="O576" xml:space="preserve"> IF(AND($L576 &lt;&gt; "", $L576 &lt;&gt; "Removed"), N576 + _xlfn.IFS(_xlfn.TEXTAFTER(L576," ",1) = "Days", _xlfn.NUMBERVALUE(_xlfn.TEXTBEFORE(L576," ",1)), L576="18 Months", 547, _xlfn.TEXTAFTER(L576," ",1) = "Years", _xlfn.NUMBERVALUE(_xlfn.TEXTBEFORE(L576," ",1))*365), "")</f>
        <v/>
      </c>
    </row>
    <row r="577" spans="15:15" ht="16.3" x14ac:dyDescent="0.25">
      <c r="O577" s="48" t="str" cm="1">
        <f t="array" ref="O577" xml:space="preserve"> IF(AND($L577 &lt;&gt; "", $L577 &lt;&gt; "Removed"), N577 + _xlfn.IFS(_xlfn.TEXTAFTER(L577," ",1) = "Days", _xlfn.NUMBERVALUE(_xlfn.TEXTBEFORE(L577," ",1)), L577="18 Months", 547, _xlfn.TEXTAFTER(L577," ",1) = "Years", _xlfn.NUMBERVALUE(_xlfn.TEXTBEFORE(L577," ",1))*365), "")</f>
        <v/>
      </c>
    </row>
    <row r="578" spans="15:15" ht="16.3" x14ac:dyDescent="0.25">
      <c r="O578" s="48" t="str" cm="1">
        <f t="array" ref="O578" xml:space="preserve"> IF(AND($L578 &lt;&gt; "", $L578 &lt;&gt; "Removed"), N578 + _xlfn.IFS(_xlfn.TEXTAFTER(L578," ",1) = "Days", _xlfn.NUMBERVALUE(_xlfn.TEXTBEFORE(L578," ",1)), L578="18 Months", 547, _xlfn.TEXTAFTER(L578," ",1) = "Years", _xlfn.NUMBERVALUE(_xlfn.TEXTBEFORE(L578," ",1))*365), "")</f>
        <v/>
      </c>
    </row>
    <row r="579" spans="15:15" ht="16.3" x14ac:dyDescent="0.25">
      <c r="O579" s="48" t="str" cm="1">
        <f t="array" ref="O579" xml:space="preserve"> IF(AND($L579 &lt;&gt; "", $L579 &lt;&gt; "Removed"), N579 + _xlfn.IFS(_xlfn.TEXTAFTER(L579," ",1) = "Days", _xlfn.NUMBERVALUE(_xlfn.TEXTBEFORE(L579," ",1)), L579="18 Months", 547, _xlfn.TEXTAFTER(L579," ",1) = "Years", _xlfn.NUMBERVALUE(_xlfn.TEXTBEFORE(L579," ",1))*365), "")</f>
        <v/>
      </c>
    </row>
    <row r="580" spans="15:15" ht="16.3" x14ac:dyDescent="0.25">
      <c r="O580" s="48" t="str" cm="1">
        <f t="array" ref="O580" xml:space="preserve"> IF(AND($L580 &lt;&gt; "", $L580 &lt;&gt; "Removed"), N580 + _xlfn.IFS(_xlfn.TEXTAFTER(L580," ",1) = "Days", _xlfn.NUMBERVALUE(_xlfn.TEXTBEFORE(L580," ",1)), L580="18 Months", 547, _xlfn.TEXTAFTER(L580," ",1) = "Years", _xlfn.NUMBERVALUE(_xlfn.TEXTBEFORE(L580," ",1))*365), "")</f>
        <v/>
      </c>
    </row>
    <row r="581" spans="15:15" ht="16.3" x14ac:dyDescent="0.25">
      <c r="O581" s="48" t="str" cm="1">
        <f t="array" ref="O581" xml:space="preserve"> IF(AND($L581 &lt;&gt; "", $L581 &lt;&gt; "Removed"), N581 + _xlfn.IFS(_xlfn.TEXTAFTER(L581," ",1) = "Days", _xlfn.NUMBERVALUE(_xlfn.TEXTBEFORE(L581," ",1)), L581="18 Months", 547, _xlfn.TEXTAFTER(L581," ",1) = "Years", _xlfn.NUMBERVALUE(_xlfn.TEXTBEFORE(L581," ",1))*365), "")</f>
        <v/>
      </c>
    </row>
    <row r="582" spans="15:15" ht="16.3" x14ac:dyDescent="0.25">
      <c r="O582" s="48" t="str" cm="1">
        <f t="array" ref="O582" xml:space="preserve"> IF(AND($L582 &lt;&gt; "", $L582 &lt;&gt; "Removed"), N582 + _xlfn.IFS(_xlfn.TEXTAFTER(L582," ",1) = "Days", _xlfn.NUMBERVALUE(_xlfn.TEXTBEFORE(L582," ",1)), L582="18 Months", 547, _xlfn.TEXTAFTER(L582," ",1) = "Years", _xlfn.NUMBERVALUE(_xlfn.TEXTBEFORE(L582," ",1))*365), "")</f>
        <v/>
      </c>
    </row>
    <row r="583" spans="15:15" ht="16.3" x14ac:dyDescent="0.25">
      <c r="O583" s="48" t="str" cm="1">
        <f t="array" ref="O583" xml:space="preserve"> IF(AND($L583 &lt;&gt; "", $L583 &lt;&gt; "Removed"), N583 + _xlfn.IFS(_xlfn.TEXTAFTER(L583," ",1) = "Days", _xlfn.NUMBERVALUE(_xlfn.TEXTBEFORE(L583," ",1)), L583="18 Months", 547, _xlfn.TEXTAFTER(L583," ",1) = "Years", _xlfn.NUMBERVALUE(_xlfn.TEXTBEFORE(L583," ",1))*365), "")</f>
        <v/>
      </c>
    </row>
    <row r="584" spans="15:15" ht="16.3" x14ac:dyDescent="0.25">
      <c r="O584" s="48" t="str" cm="1">
        <f t="array" ref="O584" xml:space="preserve"> IF(AND($L584 &lt;&gt; "", $L584 &lt;&gt; "Removed"), N584 + _xlfn.IFS(_xlfn.TEXTAFTER(L584," ",1) = "Days", _xlfn.NUMBERVALUE(_xlfn.TEXTBEFORE(L584," ",1)), L584="18 Months", 547, _xlfn.TEXTAFTER(L584," ",1) = "Years", _xlfn.NUMBERVALUE(_xlfn.TEXTBEFORE(L584," ",1))*365), "")</f>
        <v/>
      </c>
    </row>
    <row r="585" spans="15:15" ht="16.3" x14ac:dyDescent="0.25">
      <c r="O585" s="48" t="str" cm="1">
        <f t="array" ref="O585" xml:space="preserve"> IF(AND($L585 &lt;&gt; "", $L585 &lt;&gt; "Removed"), N585 + _xlfn.IFS(_xlfn.TEXTAFTER(L585," ",1) = "Days", _xlfn.NUMBERVALUE(_xlfn.TEXTBEFORE(L585," ",1)), L585="18 Months", 547, _xlfn.TEXTAFTER(L585," ",1) = "Years", _xlfn.NUMBERVALUE(_xlfn.TEXTBEFORE(L585," ",1))*365), "")</f>
        <v/>
      </c>
    </row>
    <row r="586" spans="15:15" ht="16.3" x14ac:dyDescent="0.25">
      <c r="O586" s="48" t="str" cm="1">
        <f t="array" ref="O586" xml:space="preserve"> IF(AND($L586 &lt;&gt; "", $L586 &lt;&gt; "Removed"), N586 + _xlfn.IFS(_xlfn.TEXTAFTER(L586," ",1) = "Days", _xlfn.NUMBERVALUE(_xlfn.TEXTBEFORE(L586," ",1)), L586="18 Months", 547, _xlfn.TEXTAFTER(L586," ",1) = "Years", _xlfn.NUMBERVALUE(_xlfn.TEXTBEFORE(L586," ",1))*365), "")</f>
        <v/>
      </c>
    </row>
    <row r="587" spans="15:15" ht="16.3" x14ac:dyDescent="0.25">
      <c r="O587" s="48" t="str" cm="1">
        <f t="array" ref="O587" xml:space="preserve"> IF(AND($L587 &lt;&gt; "", $L587 &lt;&gt; "Removed"), N587 + _xlfn.IFS(_xlfn.TEXTAFTER(L587," ",1) = "Days", _xlfn.NUMBERVALUE(_xlfn.TEXTBEFORE(L587," ",1)), L587="18 Months", 547, _xlfn.TEXTAFTER(L587," ",1) = "Years", _xlfn.NUMBERVALUE(_xlfn.TEXTBEFORE(L587," ",1))*365), "")</f>
        <v/>
      </c>
    </row>
    <row r="588" spans="15:15" ht="16.3" x14ac:dyDescent="0.25">
      <c r="O588" s="48" t="str" cm="1">
        <f t="array" ref="O588" xml:space="preserve"> IF(AND($L588 &lt;&gt; "", $L588 &lt;&gt; "Removed"), N588 + _xlfn.IFS(_xlfn.TEXTAFTER(L588," ",1) = "Days", _xlfn.NUMBERVALUE(_xlfn.TEXTBEFORE(L588," ",1)), L588="18 Months", 547, _xlfn.TEXTAFTER(L588," ",1) = "Years", _xlfn.NUMBERVALUE(_xlfn.TEXTBEFORE(L588," ",1))*365), "")</f>
        <v/>
      </c>
    </row>
    <row r="589" spans="15:15" ht="16.3" x14ac:dyDescent="0.25">
      <c r="O589" s="48" t="str" cm="1">
        <f t="array" ref="O589" xml:space="preserve"> IF(AND($L589 &lt;&gt; "", $L589 &lt;&gt; "Removed"), N589 + _xlfn.IFS(_xlfn.TEXTAFTER(L589," ",1) = "Days", _xlfn.NUMBERVALUE(_xlfn.TEXTBEFORE(L589," ",1)), L589="18 Months", 547, _xlfn.TEXTAFTER(L589," ",1) = "Years", _xlfn.NUMBERVALUE(_xlfn.TEXTBEFORE(L589," ",1))*365), "")</f>
        <v/>
      </c>
    </row>
    <row r="590" spans="15:15" ht="16.3" x14ac:dyDescent="0.25">
      <c r="O590" s="48" t="str" cm="1">
        <f t="array" ref="O590" xml:space="preserve"> IF(AND($L590 &lt;&gt; "", $L590 &lt;&gt; "Removed"), N590 + _xlfn.IFS(_xlfn.TEXTAFTER(L590," ",1) = "Days", _xlfn.NUMBERVALUE(_xlfn.TEXTBEFORE(L590," ",1)), L590="18 Months", 547, _xlfn.TEXTAFTER(L590," ",1) = "Years", _xlfn.NUMBERVALUE(_xlfn.TEXTBEFORE(L590," ",1))*365), "")</f>
        <v/>
      </c>
    </row>
    <row r="591" spans="15:15" ht="16.3" x14ac:dyDescent="0.25">
      <c r="O591" s="48" t="str" cm="1">
        <f t="array" ref="O591" xml:space="preserve"> IF(AND($L591 &lt;&gt; "", $L591 &lt;&gt; "Removed"), N591 + _xlfn.IFS(_xlfn.TEXTAFTER(L591," ",1) = "Days", _xlfn.NUMBERVALUE(_xlfn.TEXTBEFORE(L591," ",1)), L591="18 Months", 547, _xlfn.TEXTAFTER(L591," ",1) = "Years", _xlfn.NUMBERVALUE(_xlfn.TEXTBEFORE(L591," ",1))*365), "")</f>
        <v/>
      </c>
    </row>
    <row r="592" spans="15:15" ht="16.3" x14ac:dyDescent="0.25">
      <c r="O592" s="48" t="str" cm="1">
        <f t="array" ref="O592" xml:space="preserve"> IF(AND($L592 &lt;&gt; "", $L592 &lt;&gt; "Removed"), N592 + _xlfn.IFS(_xlfn.TEXTAFTER(L592," ",1) = "Days", _xlfn.NUMBERVALUE(_xlfn.TEXTBEFORE(L592," ",1)), L592="18 Months", 547, _xlfn.TEXTAFTER(L592," ",1) = "Years", _xlfn.NUMBERVALUE(_xlfn.TEXTBEFORE(L592," ",1))*365), "")</f>
        <v/>
      </c>
    </row>
    <row r="593" spans="15:15" ht="16.3" x14ac:dyDescent="0.25">
      <c r="O593" s="48" t="str" cm="1">
        <f t="array" ref="O593" xml:space="preserve"> IF(AND($L593 &lt;&gt; "", $L593 &lt;&gt; "Removed"), N593 + _xlfn.IFS(_xlfn.TEXTAFTER(L593," ",1) = "Days", _xlfn.NUMBERVALUE(_xlfn.TEXTBEFORE(L593," ",1)), L593="18 Months", 547, _xlfn.TEXTAFTER(L593," ",1) = "Years", _xlfn.NUMBERVALUE(_xlfn.TEXTBEFORE(L593," ",1))*365), "")</f>
        <v/>
      </c>
    </row>
    <row r="594" spans="15:15" ht="16.3" x14ac:dyDescent="0.25">
      <c r="O594" s="48" t="str" cm="1">
        <f t="array" ref="O594" xml:space="preserve"> IF(AND($L594 &lt;&gt; "", $L594 &lt;&gt; "Removed"), N594 + _xlfn.IFS(_xlfn.TEXTAFTER(L594," ",1) = "Days", _xlfn.NUMBERVALUE(_xlfn.TEXTBEFORE(L594," ",1)), L594="18 Months", 547, _xlfn.TEXTAFTER(L594," ",1) = "Years", _xlfn.NUMBERVALUE(_xlfn.TEXTBEFORE(L594," ",1))*365), "")</f>
        <v/>
      </c>
    </row>
    <row r="595" spans="15:15" ht="16.3" x14ac:dyDescent="0.25">
      <c r="O595" s="48" t="str" cm="1">
        <f t="array" ref="O595" xml:space="preserve"> IF(AND($L595 &lt;&gt; "", $L595 &lt;&gt; "Removed"), N595 + _xlfn.IFS(_xlfn.TEXTAFTER(L595," ",1) = "Days", _xlfn.NUMBERVALUE(_xlfn.TEXTBEFORE(L595," ",1)), L595="18 Months", 547, _xlfn.TEXTAFTER(L595," ",1) = "Years", _xlfn.NUMBERVALUE(_xlfn.TEXTBEFORE(L595," ",1))*365), "")</f>
        <v/>
      </c>
    </row>
    <row r="596" spans="15:15" ht="16.3" x14ac:dyDescent="0.25">
      <c r="O596" s="48" t="str" cm="1">
        <f t="array" ref="O596" xml:space="preserve"> IF(AND($L596 &lt;&gt; "", $L596 &lt;&gt; "Removed"), N596 + _xlfn.IFS(_xlfn.TEXTAFTER(L596," ",1) = "Days", _xlfn.NUMBERVALUE(_xlfn.TEXTBEFORE(L596," ",1)), L596="18 Months", 547, _xlfn.TEXTAFTER(L596," ",1) = "Years", _xlfn.NUMBERVALUE(_xlfn.TEXTBEFORE(L596," ",1))*365), "")</f>
        <v/>
      </c>
    </row>
    <row r="597" spans="15:15" ht="16.3" x14ac:dyDescent="0.25">
      <c r="O597" s="48" t="str" cm="1">
        <f t="array" ref="O597" xml:space="preserve"> IF(AND($L597 &lt;&gt; "", $L597 &lt;&gt; "Removed"), N597 + _xlfn.IFS(_xlfn.TEXTAFTER(L597," ",1) = "Days", _xlfn.NUMBERVALUE(_xlfn.TEXTBEFORE(L597," ",1)), L597="18 Months", 547, _xlfn.TEXTAFTER(L597," ",1) = "Years", _xlfn.NUMBERVALUE(_xlfn.TEXTBEFORE(L597," ",1))*365), "")</f>
        <v/>
      </c>
    </row>
    <row r="598" spans="15:15" ht="16.3" x14ac:dyDescent="0.25">
      <c r="O598" s="48" t="str" cm="1">
        <f t="array" ref="O598" xml:space="preserve"> IF(AND($L598 &lt;&gt; "", $L598 &lt;&gt; "Removed"), N598 + _xlfn.IFS(_xlfn.TEXTAFTER(L598," ",1) = "Days", _xlfn.NUMBERVALUE(_xlfn.TEXTBEFORE(L598," ",1)), L598="18 Months", 547, _xlfn.TEXTAFTER(L598," ",1) = "Years", _xlfn.NUMBERVALUE(_xlfn.TEXTBEFORE(L598," ",1))*365), "")</f>
        <v/>
      </c>
    </row>
    <row r="599" spans="15:15" ht="16.3" x14ac:dyDescent="0.25">
      <c r="O599" s="48" t="str" cm="1">
        <f t="array" ref="O599" xml:space="preserve"> IF(AND($L599 &lt;&gt; "", $L599 &lt;&gt; "Removed"), N599 + _xlfn.IFS(_xlfn.TEXTAFTER(L599," ",1) = "Days", _xlfn.NUMBERVALUE(_xlfn.TEXTBEFORE(L599," ",1)), L599="18 Months", 547, _xlfn.TEXTAFTER(L599," ",1) = "Years", _xlfn.NUMBERVALUE(_xlfn.TEXTBEFORE(L599," ",1))*365), "")</f>
        <v/>
      </c>
    </row>
    <row r="600" spans="15:15" ht="16.3" x14ac:dyDescent="0.25">
      <c r="O600" s="48" t="str" cm="1">
        <f t="array" ref="O600" xml:space="preserve"> IF(AND($L600 &lt;&gt; "", $L600 &lt;&gt; "Removed"), N600 + _xlfn.IFS(_xlfn.TEXTAFTER(L600," ",1) = "Days", _xlfn.NUMBERVALUE(_xlfn.TEXTBEFORE(L600," ",1)), L600="18 Months", 547, _xlfn.TEXTAFTER(L600," ",1) = "Years", _xlfn.NUMBERVALUE(_xlfn.TEXTBEFORE(L600," ",1))*365), "")</f>
        <v/>
      </c>
    </row>
    <row r="601" spans="15:15" ht="16.3" x14ac:dyDescent="0.25">
      <c r="O601" s="48" t="str" cm="1">
        <f t="array" ref="O601" xml:space="preserve"> IF(AND($L601 &lt;&gt; "", $L601 &lt;&gt; "Removed"), N601 + _xlfn.IFS(_xlfn.TEXTAFTER(L601," ",1) = "Days", _xlfn.NUMBERVALUE(_xlfn.TEXTBEFORE(L601," ",1)), L601="18 Months", 547, _xlfn.TEXTAFTER(L601," ",1) = "Years", _xlfn.NUMBERVALUE(_xlfn.TEXTBEFORE(L601," ",1))*365), "")</f>
        <v/>
      </c>
    </row>
    <row r="602" spans="15:15" ht="16.3" x14ac:dyDescent="0.25">
      <c r="O602" s="48" t="str" cm="1">
        <f t="array" ref="O602" xml:space="preserve"> IF(AND($L602 &lt;&gt; "", $L602 &lt;&gt; "Removed"), N602 + _xlfn.IFS(_xlfn.TEXTAFTER(L602," ",1) = "Days", _xlfn.NUMBERVALUE(_xlfn.TEXTBEFORE(L602," ",1)), L602="18 Months", 547, _xlfn.TEXTAFTER(L602," ",1) = "Years", _xlfn.NUMBERVALUE(_xlfn.TEXTBEFORE(L602," ",1))*365), "")</f>
        <v/>
      </c>
    </row>
    <row r="603" spans="15:15" ht="16.3" x14ac:dyDescent="0.25">
      <c r="O603" s="48" t="str" cm="1">
        <f t="array" ref="O603" xml:space="preserve"> IF(AND($L603 &lt;&gt; "", $L603 &lt;&gt; "Removed"), N603 + _xlfn.IFS(_xlfn.TEXTAFTER(L603," ",1) = "Days", _xlfn.NUMBERVALUE(_xlfn.TEXTBEFORE(L603," ",1)), L603="18 Months", 547, _xlfn.TEXTAFTER(L603," ",1) = "Years", _xlfn.NUMBERVALUE(_xlfn.TEXTBEFORE(L603," ",1))*365), "")</f>
        <v/>
      </c>
    </row>
    <row r="604" spans="15:15" ht="16.3" x14ac:dyDescent="0.25">
      <c r="O604" s="48" t="str" cm="1">
        <f t="array" ref="O604" xml:space="preserve"> IF(AND($L604 &lt;&gt; "", $L604 &lt;&gt; "Removed"), N604 + _xlfn.IFS(_xlfn.TEXTAFTER(L604," ",1) = "Days", _xlfn.NUMBERVALUE(_xlfn.TEXTBEFORE(L604," ",1)), L604="18 Months", 547, _xlfn.TEXTAFTER(L604," ",1) = "Years", _xlfn.NUMBERVALUE(_xlfn.TEXTBEFORE(L604," ",1))*365), "")</f>
        <v/>
      </c>
    </row>
    <row r="605" spans="15:15" ht="16.3" x14ac:dyDescent="0.25">
      <c r="O605" s="48" t="str" cm="1">
        <f t="array" ref="O605" xml:space="preserve"> IF(AND($L605 &lt;&gt; "", $L605 &lt;&gt; "Removed"), N605 + _xlfn.IFS(_xlfn.TEXTAFTER(L605," ",1) = "Days", _xlfn.NUMBERVALUE(_xlfn.TEXTBEFORE(L605," ",1)), L605="18 Months", 547, _xlfn.TEXTAFTER(L605," ",1) = "Years", _xlfn.NUMBERVALUE(_xlfn.TEXTBEFORE(L605," ",1))*365), "")</f>
        <v/>
      </c>
    </row>
    <row r="606" spans="15:15" ht="16.3" x14ac:dyDescent="0.25">
      <c r="O606" s="48" t="str" cm="1">
        <f t="array" ref="O606" xml:space="preserve"> IF(AND($L606 &lt;&gt; "", $L606 &lt;&gt; "Removed"), N606 + _xlfn.IFS(_xlfn.TEXTAFTER(L606," ",1) = "Days", _xlfn.NUMBERVALUE(_xlfn.TEXTBEFORE(L606," ",1)), L606="18 Months", 547, _xlfn.TEXTAFTER(L606," ",1) = "Years", _xlfn.NUMBERVALUE(_xlfn.TEXTBEFORE(L606," ",1))*365), "")</f>
        <v/>
      </c>
    </row>
    <row r="607" spans="15:15" ht="16.3" x14ac:dyDescent="0.25">
      <c r="O607" s="48" t="str" cm="1">
        <f t="array" ref="O607" xml:space="preserve"> IF(AND($L607 &lt;&gt; "", $L607 &lt;&gt; "Removed"), N607 + _xlfn.IFS(_xlfn.TEXTAFTER(L607," ",1) = "Days", _xlfn.NUMBERVALUE(_xlfn.TEXTBEFORE(L607," ",1)), L607="18 Months", 547, _xlfn.TEXTAFTER(L607," ",1) = "Years", _xlfn.NUMBERVALUE(_xlfn.TEXTBEFORE(L607," ",1))*365), "")</f>
        <v/>
      </c>
    </row>
    <row r="608" spans="15:15" ht="16.3" x14ac:dyDescent="0.25">
      <c r="O608" s="48" t="str" cm="1">
        <f t="array" ref="O608" xml:space="preserve"> IF(AND($L608 &lt;&gt; "", $L608 &lt;&gt; "Removed"), N608 + _xlfn.IFS(_xlfn.TEXTAFTER(L608," ",1) = "Days", _xlfn.NUMBERVALUE(_xlfn.TEXTBEFORE(L608," ",1)), L608="18 Months", 547, _xlfn.TEXTAFTER(L608," ",1) = "Years", _xlfn.NUMBERVALUE(_xlfn.TEXTBEFORE(L608," ",1))*365), "")</f>
        <v/>
      </c>
    </row>
    <row r="609" spans="15:15" ht="16.3" x14ac:dyDescent="0.25">
      <c r="O609" s="48" t="str" cm="1">
        <f t="array" ref="O609" xml:space="preserve"> IF(AND($L609 &lt;&gt; "", $L609 &lt;&gt; "Removed"), N609 + _xlfn.IFS(_xlfn.TEXTAFTER(L609," ",1) = "Days", _xlfn.NUMBERVALUE(_xlfn.TEXTBEFORE(L609," ",1)), L609="18 Months", 547, _xlfn.TEXTAFTER(L609," ",1) = "Years", _xlfn.NUMBERVALUE(_xlfn.TEXTBEFORE(L609," ",1))*365), "")</f>
        <v/>
      </c>
    </row>
    <row r="610" spans="15:15" ht="16.3" x14ac:dyDescent="0.25">
      <c r="O610" s="48" t="str" cm="1">
        <f t="array" ref="O610" xml:space="preserve"> IF(AND($L610 &lt;&gt; "", $L610 &lt;&gt; "Removed"), N610 + _xlfn.IFS(_xlfn.TEXTAFTER(L610," ",1) = "Days", _xlfn.NUMBERVALUE(_xlfn.TEXTBEFORE(L610," ",1)), L610="18 Months", 547, _xlfn.TEXTAFTER(L610," ",1) = "Years", _xlfn.NUMBERVALUE(_xlfn.TEXTBEFORE(L610," ",1))*365), "")</f>
        <v/>
      </c>
    </row>
    <row r="611" spans="15:15" ht="16.3" x14ac:dyDescent="0.25">
      <c r="O611" s="48" t="str" cm="1">
        <f t="array" ref="O611" xml:space="preserve"> IF(AND($L611 &lt;&gt; "", $L611 &lt;&gt; "Removed"), N611 + _xlfn.IFS(_xlfn.TEXTAFTER(L611," ",1) = "Days", _xlfn.NUMBERVALUE(_xlfn.TEXTBEFORE(L611," ",1)), L611="18 Months", 547, _xlfn.TEXTAFTER(L611," ",1) = "Years", _xlfn.NUMBERVALUE(_xlfn.TEXTBEFORE(L611," ",1))*365), "")</f>
        <v/>
      </c>
    </row>
    <row r="612" spans="15:15" ht="16.3" x14ac:dyDescent="0.25">
      <c r="O612" s="48" t="str" cm="1">
        <f t="array" ref="O612" xml:space="preserve"> IF(AND($L612 &lt;&gt; "", $L612 &lt;&gt; "Removed"), N612 + _xlfn.IFS(_xlfn.TEXTAFTER(L612," ",1) = "Days", _xlfn.NUMBERVALUE(_xlfn.TEXTBEFORE(L612," ",1)), L612="18 Months", 547, _xlfn.TEXTAFTER(L612," ",1) = "Years", _xlfn.NUMBERVALUE(_xlfn.TEXTBEFORE(L612," ",1))*365), "")</f>
        <v/>
      </c>
    </row>
    <row r="613" spans="15:15" ht="16.3" x14ac:dyDescent="0.25">
      <c r="O613" s="48" t="str" cm="1">
        <f t="array" ref="O613" xml:space="preserve"> IF(AND($L613 &lt;&gt; "", $L613 &lt;&gt; "Removed"), N613 + _xlfn.IFS(_xlfn.TEXTAFTER(L613," ",1) = "Days", _xlfn.NUMBERVALUE(_xlfn.TEXTBEFORE(L613," ",1)), L613="18 Months", 547, _xlfn.TEXTAFTER(L613," ",1) = "Years", _xlfn.NUMBERVALUE(_xlfn.TEXTBEFORE(L613," ",1))*365), "")</f>
        <v/>
      </c>
    </row>
    <row r="614" spans="15:15" ht="16.3" x14ac:dyDescent="0.25">
      <c r="O614" s="48" t="str" cm="1">
        <f t="array" ref="O614" xml:space="preserve"> IF(AND($L614 &lt;&gt; "", $L614 &lt;&gt; "Removed"), N614 + _xlfn.IFS(_xlfn.TEXTAFTER(L614," ",1) = "Days", _xlfn.NUMBERVALUE(_xlfn.TEXTBEFORE(L614," ",1)), L614="18 Months", 547, _xlfn.TEXTAFTER(L614," ",1) = "Years", _xlfn.NUMBERVALUE(_xlfn.TEXTBEFORE(L614," ",1))*365), "")</f>
        <v/>
      </c>
    </row>
    <row r="615" spans="15:15" ht="16.3" x14ac:dyDescent="0.25">
      <c r="O615" s="48" t="str" cm="1">
        <f t="array" ref="O615" xml:space="preserve"> IF(AND($L615 &lt;&gt; "", $L615 &lt;&gt; "Removed"), N615 + _xlfn.IFS(_xlfn.TEXTAFTER(L615," ",1) = "Days", _xlfn.NUMBERVALUE(_xlfn.TEXTBEFORE(L615," ",1)), L615="18 Months", 547, _xlfn.TEXTAFTER(L615," ",1) = "Years", _xlfn.NUMBERVALUE(_xlfn.TEXTBEFORE(L615," ",1))*365), "")</f>
        <v/>
      </c>
    </row>
    <row r="616" spans="15:15" ht="16.3" x14ac:dyDescent="0.25">
      <c r="O616" s="48" t="str" cm="1">
        <f t="array" ref="O616" xml:space="preserve"> IF(AND($L616 &lt;&gt; "", $L616 &lt;&gt; "Removed"), N616 + _xlfn.IFS(_xlfn.TEXTAFTER(L616," ",1) = "Days", _xlfn.NUMBERVALUE(_xlfn.TEXTBEFORE(L616," ",1)), L616="18 Months", 547, _xlfn.TEXTAFTER(L616," ",1) = "Years", _xlfn.NUMBERVALUE(_xlfn.TEXTBEFORE(L616," ",1))*365), "")</f>
        <v/>
      </c>
    </row>
    <row r="617" spans="15:15" ht="16.3" x14ac:dyDescent="0.25">
      <c r="O617" s="48" t="str" cm="1">
        <f t="array" ref="O617" xml:space="preserve"> IF(AND($L617 &lt;&gt; "", $L617 &lt;&gt; "Removed"), N617 + _xlfn.IFS(_xlfn.TEXTAFTER(L617," ",1) = "Days", _xlfn.NUMBERVALUE(_xlfn.TEXTBEFORE(L617," ",1)), L617="18 Months", 547, _xlfn.TEXTAFTER(L617," ",1) = "Years", _xlfn.NUMBERVALUE(_xlfn.TEXTBEFORE(L617," ",1))*365), "")</f>
        <v/>
      </c>
    </row>
    <row r="618" spans="15:15" ht="16.3" x14ac:dyDescent="0.25">
      <c r="O618" s="48" t="str" cm="1">
        <f t="array" ref="O618" xml:space="preserve"> IF(AND($L618 &lt;&gt; "", $L618 &lt;&gt; "Removed"), N618 + _xlfn.IFS(_xlfn.TEXTAFTER(L618," ",1) = "Days", _xlfn.NUMBERVALUE(_xlfn.TEXTBEFORE(L618," ",1)), L618="18 Months", 547, _xlfn.TEXTAFTER(L618," ",1) = "Years", _xlfn.NUMBERVALUE(_xlfn.TEXTBEFORE(L618," ",1))*365), "")</f>
        <v/>
      </c>
    </row>
    <row r="619" spans="15:15" ht="16.3" x14ac:dyDescent="0.25">
      <c r="O619" s="48" t="str" cm="1">
        <f t="array" ref="O619" xml:space="preserve"> IF(AND($L619 &lt;&gt; "", $L619 &lt;&gt; "Removed"), N619 + _xlfn.IFS(_xlfn.TEXTAFTER(L619," ",1) = "Days", _xlfn.NUMBERVALUE(_xlfn.TEXTBEFORE(L619," ",1)), L619="18 Months", 547, _xlfn.TEXTAFTER(L619," ",1) = "Years", _xlfn.NUMBERVALUE(_xlfn.TEXTBEFORE(L619," ",1))*365), "")</f>
        <v/>
      </c>
    </row>
    <row r="620" spans="15:15" ht="16.3" x14ac:dyDescent="0.25">
      <c r="O620" s="48" t="str" cm="1">
        <f t="array" ref="O620" xml:space="preserve"> IF(AND($L620 &lt;&gt; "", $L620 &lt;&gt; "Removed"), N620 + _xlfn.IFS(_xlfn.TEXTAFTER(L620," ",1) = "Days", _xlfn.NUMBERVALUE(_xlfn.TEXTBEFORE(L620," ",1)), L620="18 Months", 547, _xlfn.TEXTAFTER(L620," ",1) = "Years", _xlfn.NUMBERVALUE(_xlfn.TEXTBEFORE(L620," ",1))*365), "")</f>
        <v/>
      </c>
    </row>
    <row r="621" spans="15:15" ht="16.3" x14ac:dyDescent="0.25">
      <c r="O621" s="48" t="str" cm="1">
        <f t="array" ref="O621" xml:space="preserve"> IF(AND($L621 &lt;&gt; "", $L621 &lt;&gt; "Removed"), N621 + _xlfn.IFS(_xlfn.TEXTAFTER(L621," ",1) = "Days", _xlfn.NUMBERVALUE(_xlfn.TEXTBEFORE(L621," ",1)), L621="18 Months", 547, _xlfn.TEXTAFTER(L621," ",1) = "Years", _xlfn.NUMBERVALUE(_xlfn.TEXTBEFORE(L621," ",1))*365), "")</f>
        <v/>
      </c>
    </row>
    <row r="622" spans="15:15" ht="16.3" x14ac:dyDescent="0.25">
      <c r="O622" s="48" t="str" cm="1">
        <f t="array" ref="O622" xml:space="preserve"> IF(AND($L622 &lt;&gt; "", $L622 &lt;&gt; "Removed"), N622 + _xlfn.IFS(_xlfn.TEXTAFTER(L622," ",1) = "Days", _xlfn.NUMBERVALUE(_xlfn.TEXTBEFORE(L622," ",1)), L622="18 Months", 547, _xlfn.TEXTAFTER(L622," ",1) = "Years", _xlfn.NUMBERVALUE(_xlfn.TEXTBEFORE(L622," ",1))*365), "")</f>
        <v/>
      </c>
    </row>
    <row r="623" spans="15:15" ht="16.3" x14ac:dyDescent="0.25">
      <c r="O623" s="48" t="str" cm="1">
        <f t="array" ref="O623" xml:space="preserve"> IF(AND($L623 &lt;&gt; "", $L623 &lt;&gt; "Removed"), N623 + _xlfn.IFS(_xlfn.TEXTAFTER(L623," ",1) = "Days", _xlfn.NUMBERVALUE(_xlfn.TEXTBEFORE(L623," ",1)), L623="18 Months", 547, _xlfn.TEXTAFTER(L623," ",1) = "Years", _xlfn.NUMBERVALUE(_xlfn.TEXTBEFORE(L623," ",1))*365), "")</f>
        <v/>
      </c>
    </row>
    <row r="624" spans="15:15" ht="16.3" x14ac:dyDescent="0.25">
      <c r="O624" s="48" t="str" cm="1">
        <f t="array" ref="O624" xml:space="preserve"> IF(AND($L624 &lt;&gt; "", $L624 &lt;&gt; "Removed"), N624 + _xlfn.IFS(_xlfn.TEXTAFTER(L624," ",1) = "Days", _xlfn.NUMBERVALUE(_xlfn.TEXTBEFORE(L624," ",1)), L624="18 Months", 547, _xlfn.TEXTAFTER(L624," ",1) = "Years", _xlfn.NUMBERVALUE(_xlfn.TEXTBEFORE(L624," ",1))*365), "")</f>
        <v/>
      </c>
    </row>
    <row r="625" spans="15:15" ht="16.3" x14ac:dyDescent="0.25">
      <c r="O625" s="48" t="str" cm="1">
        <f t="array" ref="O625" xml:space="preserve"> IF(AND($L625 &lt;&gt; "", $L625 &lt;&gt; "Removed"), N625 + _xlfn.IFS(_xlfn.TEXTAFTER(L625," ",1) = "Days", _xlfn.NUMBERVALUE(_xlfn.TEXTBEFORE(L625," ",1)), L625="18 Months", 547, _xlfn.TEXTAFTER(L625," ",1) = "Years", _xlfn.NUMBERVALUE(_xlfn.TEXTBEFORE(L625," ",1))*365), "")</f>
        <v/>
      </c>
    </row>
    <row r="626" spans="15:15" ht="16.3" x14ac:dyDescent="0.25">
      <c r="O626" s="48" t="str" cm="1">
        <f t="array" ref="O626" xml:space="preserve"> IF(AND($L626 &lt;&gt; "", $L626 &lt;&gt; "Removed"), N626 + _xlfn.IFS(_xlfn.TEXTAFTER(L626," ",1) = "Days", _xlfn.NUMBERVALUE(_xlfn.TEXTBEFORE(L626," ",1)), L626="18 Months", 547, _xlfn.TEXTAFTER(L626," ",1) = "Years", _xlfn.NUMBERVALUE(_xlfn.TEXTBEFORE(L626," ",1))*365), "")</f>
        <v/>
      </c>
    </row>
    <row r="627" spans="15:15" ht="16.3" x14ac:dyDescent="0.25">
      <c r="O627" s="48" t="str" cm="1">
        <f t="array" ref="O627" xml:space="preserve"> IF(AND($L627 &lt;&gt; "", $L627 &lt;&gt; "Removed"), N627 + _xlfn.IFS(_xlfn.TEXTAFTER(L627," ",1) = "Days", _xlfn.NUMBERVALUE(_xlfn.TEXTBEFORE(L627," ",1)), L627="18 Months", 547, _xlfn.TEXTAFTER(L627," ",1) = "Years", _xlfn.NUMBERVALUE(_xlfn.TEXTBEFORE(L627," ",1))*365), "")</f>
        <v/>
      </c>
    </row>
    <row r="628" spans="15:15" ht="16.3" x14ac:dyDescent="0.25">
      <c r="O628" s="48" t="str" cm="1">
        <f t="array" ref="O628" xml:space="preserve"> IF(AND($L628 &lt;&gt; "", $L628 &lt;&gt; "Removed"), N628 + _xlfn.IFS(_xlfn.TEXTAFTER(L628," ",1) = "Days", _xlfn.NUMBERVALUE(_xlfn.TEXTBEFORE(L628," ",1)), L628="18 Months", 547, _xlfn.TEXTAFTER(L628," ",1) = "Years", _xlfn.NUMBERVALUE(_xlfn.TEXTBEFORE(L628," ",1))*365), "")</f>
        <v/>
      </c>
    </row>
    <row r="629" spans="15:15" ht="16.3" x14ac:dyDescent="0.25">
      <c r="O629" s="48" t="str" cm="1">
        <f t="array" ref="O629" xml:space="preserve"> IF(AND($L629 &lt;&gt; "", $L629 &lt;&gt; "Removed"), N629 + _xlfn.IFS(_xlfn.TEXTAFTER(L629," ",1) = "Days", _xlfn.NUMBERVALUE(_xlfn.TEXTBEFORE(L629," ",1)), L629="18 Months", 547, _xlfn.TEXTAFTER(L629," ",1) = "Years", _xlfn.NUMBERVALUE(_xlfn.TEXTBEFORE(L629," ",1))*365), "")</f>
        <v/>
      </c>
    </row>
    <row r="630" spans="15:15" ht="16.3" x14ac:dyDescent="0.25">
      <c r="O630" s="48" t="str" cm="1">
        <f t="array" ref="O630" xml:space="preserve"> IF(AND($L630 &lt;&gt; "", $L630 &lt;&gt; "Removed"), N630 + _xlfn.IFS(_xlfn.TEXTAFTER(L630," ",1) = "Days", _xlfn.NUMBERVALUE(_xlfn.TEXTBEFORE(L630," ",1)), L630="18 Months", 547, _xlfn.TEXTAFTER(L630," ",1) = "Years", _xlfn.NUMBERVALUE(_xlfn.TEXTBEFORE(L630," ",1))*365), "")</f>
        <v/>
      </c>
    </row>
    <row r="631" spans="15:15" ht="16.3" x14ac:dyDescent="0.25">
      <c r="O631" s="48" t="str" cm="1">
        <f t="array" ref="O631" xml:space="preserve"> IF(AND($L631 &lt;&gt; "", $L631 &lt;&gt; "Removed"), N631 + _xlfn.IFS(_xlfn.TEXTAFTER(L631," ",1) = "Days", _xlfn.NUMBERVALUE(_xlfn.TEXTBEFORE(L631," ",1)), L631="18 Months", 547, _xlfn.TEXTAFTER(L631," ",1) = "Years", _xlfn.NUMBERVALUE(_xlfn.TEXTBEFORE(L631," ",1))*365), "")</f>
        <v/>
      </c>
    </row>
    <row r="632" spans="15:15" ht="16.3" x14ac:dyDescent="0.25">
      <c r="O632" s="48" t="str" cm="1">
        <f t="array" ref="O632" xml:space="preserve"> IF(AND($L632 &lt;&gt; "", $L632 &lt;&gt; "Removed"), N632 + _xlfn.IFS(_xlfn.TEXTAFTER(L632," ",1) = "Days", _xlfn.NUMBERVALUE(_xlfn.TEXTBEFORE(L632," ",1)), L632="18 Months", 547, _xlfn.TEXTAFTER(L632," ",1) = "Years", _xlfn.NUMBERVALUE(_xlfn.TEXTBEFORE(L632," ",1))*365), "")</f>
        <v/>
      </c>
    </row>
    <row r="633" spans="15:15" ht="16.3" x14ac:dyDescent="0.25">
      <c r="O633" s="48" t="str" cm="1">
        <f t="array" ref="O633" xml:space="preserve"> IF(AND($L633 &lt;&gt; "", $L633 &lt;&gt; "Removed"), N633 + _xlfn.IFS(_xlfn.TEXTAFTER(L633," ",1) = "Days", _xlfn.NUMBERVALUE(_xlfn.TEXTBEFORE(L633," ",1)), L633="18 Months", 547, _xlfn.TEXTAFTER(L633," ",1) = "Years", _xlfn.NUMBERVALUE(_xlfn.TEXTBEFORE(L633," ",1))*365), "")</f>
        <v/>
      </c>
    </row>
    <row r="634" spans="15:15" ht="16.3" x14ac:dyDescent="0.25">
      <c r="O634" s="48" t="str" cm="1">
        <f t="array" ref="O634" xml:space="preserve"> IF(AND($L634 &lt;&gt; "", $L634 &lt;&gt; "Removed"), N634 + _xlfn.IFS(_xlfn.TEXTAFTER(L634," ",1) = "Days", _xlfn.NUMBERVALUE(_xlfn.TEXTBEFORE(L634," ",1)), L634="18 Months", 547, _xlfn.TEXTAFTER(L634," ",1) = "Years", _xlfn.NUMBERVALUE(_xlfn.TEXTBEFORE(L634," ",1))*365), "")</f>
        <v/>
      </c>
    </row>
    <row r="635" spans="15:15" ht="16.3" x14ac:dyDescent="0.25">
      <c r="O635" s="48" t="str" cm="1">
        <f t="array" ref="O635" xml:space="preserve"> IF(AND($L635 &lt;&gt; "", $L635 &lt;&gt; "Removed"), N635 + _xlfn.IFS(_xlfn.TEXTAFTER(L635," ",1) = "Days", _xlfn.NUMBERVALUE(_xlfn.TEXTBEFORE(L635," ",1)), L635="18 Months", 547, _xlfn.TEXTAFTER(L635," ",1) = "Years", _xlfn.NUMBERVALUE(_xlfn.TEXTBEFORE(L635," ",1))*365), "")</f>
        <v/>
      </c>
    </row>
    <row r="636" spans="15:15" ht="16.3" x14ac:dyDescent="0.25">
      <c r="O636" s="48" t="str" cm="1">
        <f t="array" ref="O636" xml:space="preserve"> IF(AND($L636 &lt;&gt; "", $L636 &lt;&gt; "Removed"), N636 + _xlfn.IFS(_xlfn.TEXTAFTER(L636," ",1) = "Days", _xlfn.NUMBERVALUE(_xlfn.TEXTBEFORE(L636," ",1)), L636="18 Months", 547, _xlfn.TEXTAFTER(L636," ",1) = "Years", _xlfn.NUMBERVALUE(_xlfn.TEXTBEFORE(L636," ",1))*365), "")</f>
        <v/>
      </c>
    </row>
    <row r="637" spans="15:15" ht="16.3" x14ac:dyDescent="0.25">
      <c r="O637" s="48" t="str" cm="1">
        <f t="array" ref="O637" xml:space="preserve"> IF(AND($L637 &lt;&gt; "", $L637 &lt;&gt; "Removed"), N637 + _xlfn.IFS(_xlfn.TEXTAFTER(L637," ",1) = "Days", _xlfn.NUMBERVALUE(_xlfn.TEXTBEFORE(L637," ",1)), L637="18 Months", 547, _xlfn.TEXTAFTER(L637," ",1) = "Years", _xlfn.NUMBERVALUE(_xlfn.TEXTBEFORE(L637," ",1))*365), "")</f>
        <v/>
      </c>
    </row>
    <row r="638" spans="15:15" ht="16.3" x14ac:dyDescent="0.25">
      <c r="O638" s="48" t="str" cm="1">
        <f t="array" ref="O638" xml:space="preserve"> IF(AND($L638 &lt;&gt; "", $L638 &lt;&gt; "Removed"), N638 + _xlfn.IFS(_xlfn.TEXTAFTER(L638," ",1) = "Days", _xlfn.NUMBERVALUE(_xlfn.TEXTBEFORE(L638," ",1)), L638="18 Months", 547, _xlfn.TEXTAFTER(L638," ",1) = "Years", _xlfn.NUMBERVALUE(_xlfn.TEXTBEFORE(L638," ",1))*365), "")</f>
        <v/>
      </c>
    </row>
    <row r="639" spans="15:15" ht="16.3" x14ac:dyDescent="0.25">
      <c r="O639" s="48" t="str" cm="1">
        <f t="array" ref="O639" xml:space="preserve"> IF(AND($L639 &lt;&gt; "", $L639 &lt;&gt; "Removed"), N639 + _xlfn.IFS(_xlfn.TEXTAFTER(L639," ",1) = "Days", _xlfn.NUMBERVALUE(_xlfn.TEXTBEFORE(L639," ",1)), L639="18 Months", 547, _xlfn.TEXTAFTER(L639," ",1) = "Years", _xlfn.NUMBERVALUE(_xlfn.TEXTBEFORE(L639," ",1))*365), "")</f>
        <v/>
      </c>
    </row>
    <row r="640" spans="15:15" ht="16.3" x14ac:dyDescent="0.25">
      <c r="O640" s="48" t="str" cm="1">
        <f t="array" ref="O640" xml:space="preserve"> IF(AND($L640 &lt;&gt; "", $L640 &lt;&gt; "Removed"), N640 + _xlfn.IFS(_xlfn.TEXTAFTER(L640," ",1) = "Days", _xlfn.NUMBERVALUE(_xlfn.TEXTBEFORE(L640," ",1)), L640="18 Months", 547, _xlfn.TEXTAFTER(L640," ",1) = "Years", _xlfn.NUMBERVALUE(_xlfn.TEXTBEFORE(L640," ",1))*365), "")</f>
        <v/>
      </c>
    </row>
    <row r="641" spans="15:15" ht="16.3" x14ac:dyDescent="0.25">
      <c r="O641" s="48" t="str" cm="1">
        <f t="array" ref="O641" xml:space="preserve"> IF(AND($L641 &lt;&gt; "", $L641 &lt;&gt; "Removed"), N641 + _xlfn.IFS(_xlfn.TEXTAFTER(L641," ",1) = "Days", _xlfn.NUMBERVALUE(_xlfn.TEXTBEFORE(L641," ",1)), L641="18 Months", 547, _xlfn.TEXTAFTER(L641," ",1) = "Years", _xlfn.NUMBERVALUE(_xlfn.TEXTBEFORE(L641," ",1))*365), "")</f>
        <v/>
      </c>
    </row>
    <row r="642" spans="15:15" ht="16.3" x14ac:dyDescent="0.25">
      <c r="O642" s="48" t="str" cm="1">
        <f t="array" ref="O642" xml:space="preserve"> IF(AND($L642 &lt;&gt; "", $L642 &lt;&gt; "Removed"), N642 + _xlfn.IFS(_xlfn.TEXTAFTER(L642," ",1) = "Days", _xlfn.NUMBERVALUE(_xlfn.TEXTBEFORE(L642," ",1)), L642="18 Months", 547, _xlfn.TEXTAFTER(L642," ",1) = "Years", _xlfn.NUMBERVALUE(_xlfn.TEXTBEFORE(L642," ",1))*365), "")</f>
        <v/>
      </c>
    </row>
    <row r="643" spans="15:15" ht="16.3" x14ac:dyDescent="0.25">
      <c r="O643" s="48" t="str" cm="1">
        <f t="array" ref="O643" xml:space="preserve"> IF(AND($L643 &lt;&gt; "", $L643 &lt;&gt; "Removed"), N643 + _xlfn.IFS(_xlfn.TEXTAFTER(L643," ",1) = "Days", _xlfn.NUMBERVALUE(_xlfn.TEXTBEFORE(L643," ",1)), L643="18 Months", 547, _xlfn.TEXTAFTER(L643," ",1) = "Years", _xlfn.NUMBERVALUE(_xlfn.TEXTBEFORE(L643," ",1))*365), "")</f>
        <v/>
      </c>
    </row>
    <row r="644" spans="15:15" ht="16.3" x14ac:dyDescent="0.25">
      <c r="O644" s="48" t="str" cm="1">
        <f t="array" ref="O644" xml:space="preserve"> IF(AND($L644 &lt;&gt; "", $L644 &lt;&gt; "Removed"), N644 + _xlfn.IFS(_xlfn.TEXTAFTER(L644," ",1) = "Days", _xlfn.NUMBERVALUE(_xlfn.TEXTBEFORE(L644," ",1)), L644="18 Months", 547, _xlfn.TEXTAFTER(L644," ",1) = "Years", _xlfn.NUMBERVALUE(_xlfn.TEXTBEFORE(L644," ",1))*365), "")</f>
        <v/>
      </c>
    </row>
    <row r="645" spans="15:15" ht="16.3" x14ac:dyDescent="0.25">
      <c r="O645" s="48" t="str" cm="1">
        <f t="array" ref="O645" xml:space="preserve"> IF(AND($L645 &lt;&gt; "", $L645 &lt;&gt; "Removed"), N645 + _xlfn.IFS(_xlfn.TEXTAFTER(L645," ",1) = "Days", _xlfn.NUMBERVALUE(_xlfn.TEXTBEFORE(L645," ",1)), L645="18 Months", 547, _xlfn.TEXTAFTER(L645," ",1) = "Years", _xlfn.NUMBERVALUE(_xlfn.TEXTBEFORE(L645," ",1))*365), "")</f>
        <v/>
      </c>
    </row>
    <row r="646" spans="15:15" ht="16.3" x14ac:dyDescent="0.25">
      <c r="O646" s="48" t="str" cm="1">
        <f t="array" ref="O646" xml:space="preserve"> IF(AND($L646 &lt;&gt; "", $L646 &lt;&gt; "Removed"), N646 + _xlfn.IFS(_xlfn.TEXTAFTER(L646," ",1) = "Days", _xlfn.NUMBERVALUE(_xlfn.TEXTBEFORE(L646," ",1)), L646="18 Months", 547, _xlfn.TEXTAFTER(L646," ",1) = "Years", _xlfn.NUMBERVALUE(_xlfn.TEXTBEFORE(L646," ",1))*365), "")</f>
        <v/>
      </c>
    </row>
    <row r="647" spans="15:15" ht="16.3" x14ac:dyDescent="0.25">
      <c r="O647" s="48" t="str" cm="1">
        <f t="array" ref="O647" xml:space="preserve"> IF(AND($L647 &lt;&gt; "", $L647 &lt;&gt; "Removed"), N647 + _xlfn.IFS(_xlfn.TEXTAFTER(L647," ",1) = "Days", _xlfn.NUMBERVALUE(_xlfn.TEXTBEFORE(L647," ",1)), L647="18 Months", 547, _xlfn.TEXTAFTER(L647," ",1) = "Years", _xlfn.NUMBERVALUE(_xlfn.TEXTBEFORE(L647," ",1))*365), "")</f>
        <v/>
      </c>
    </row>
    <row r="648" spans="15:15" ht="16.3" x14ac:dyDescent="0.25">
      <c r="O648" s="48" t="str" cm="1">
        <f t="array" ref="O648" xml:space="preserve"> IF(AND($L648 &lt;&gt; "", $L648 &lt;&gt; "Removed"), N648 + _xlfn.IFS(_xlfn.TEXTAFTER(L648," ",1) = "Days", _xlfn.NUMBERVALUE(_xlfn.TEXTBEFORE(L648," ",1)), L648="18 Months", 547, _xlfn.TEXTAFTER(L648," ",1) = "Years", _xlfn.NUMBERVALUE(_xlfn.TEXTBEFORE(L648," ",1))*365), "")</f>
        <v/>
      </c>
    </row>
    <row r="649" spans="15:15" ht="16.3" x14ac:dyDescent="0.25">
      <c r="O649" s="48" t="str" cm="1">
        <f t="array" ref="O649" xml:space="preserve"> IF(AND($L649 &lt;&gt; "", $L649 &lt;&gt; "Removed"), N649 + _xlfn.IFS(_xlfn.TEXTAFTER(L649," ",1) = "Days", _xlfn.NUMBERVALUE(_xlfn.TEXTBEFORE(L649," ",1)), L649="18 Months", 547, _xlfn.TEXTAFTER(L649," ",1) = "Years", _xlfn.NUMBERVALUE(_xlfn.TEXTBEFORE(L649," ",1))*365), "")</f>
        <v/>
      </c>
    </row>
    <row r="650" spans="15:15" ht="16.3" x14ac:dyDescent="0.25">
      <c r="O650" s="48" t="str" cm="1">
        <f t="array" ref="O650" xml:space="preserve"> IF(AND($L650 &lt;&gt; "", $L650 &lt;&gt; "Removed"), N650 + _xlfn.IFS(_xlfn.TEXTAFTER(L650," ",1) = "Days", _xlfn.NUMBERVALUE(_xlfn.TEXTBEFORE(L650," ",1)), L650="18 Months", 547, _xlfn.TEXTAFTER(L650," ",1) = "Years", _xlfn.NUMBERVALUE(_xlfn.TEXTBEFORE(L650," ",1))*365), "")</f>
        <v/>
      </c>
    </row>
    <row r="651" spans="15:15" ht="16.3" x14ac:dyDescent="0.25">
      <c r="O651" s="48" t="str" cm="1">
        <f t="array" ref="O651" xml:space="preserve"> IF(AND($L651 &lt;&gt; "", $L651 &lt;&gt; "Removed"), N651 + _xlfn.IFS(_xlfn.TEXTAFTER(L651," ",1) = "Days", _xlfn.NUMBERVALUE(_xlfn.TEXTBEFORE(L651," ",1)), L651="18 Months", 547, _xlfn.TEXTAFTER(L651," ",1) = "Years", _xlfn.NUMBERVALUE(_xlfn.TEXTBEFORE(L651," ",1))*365), "")</f>
        <v/>
      </c>
    </row>
    <row r="652" spans="15:15" ht="16.3" x14ac:dyDescent="0.25">
      <c r="O652" s="48" t="str" cm="1">
        <f t="array" ref="O652" xml:space="preserve"> IF(AND($L652 &lt;&gt; "", $L652 &lt;&gt; "Removed"), N652 + _xlfn.IFS(_xlfn.TEXTAFTER(L652," ",1) = "Days", _xlfn.NUMBERVALUE(_xlfn.TEXTBEFORE(L652," ",1)), L652="18 Months", 547, _xlfn.TEXTAFTER(L652," ",1) = "Years", _xlfn.NUMBERVALUE(_xlfn.TEXTBEFORE(L652," ",1))*365), "")</f>
        <v/>
      </c>
    </row>
    <row r="653" spans="15:15" ht="16.3" x14ac:dyDescent="0.25">
      <c r="O653" s="48" t="str" cm="1">
        <f t="array" ref="O653" xml:space="preserve"> IF(AND($L653 &lt;&gt; "", $L653 &lt;&gt; "Removed"), N653 + _xlfn.IFS(_xlfn.TEXTAFTER(L653," ",1) = "Days", _xlfn.NUMBERVALUE(_xlfn.TEXTBEFORE(L653," ",1)), L653="18 Months", 547, _xlfn.TEXTAFTER(L653," ",1) = "Years", _xlfn.NUMBERVALUE(_xlfn.TEXTBEFORE(L653," ",1))*365), "")</f>
        <v/>
      </c>
    </row>
    <row r="654" spans="15:15" ht="16.3" x14ac:dyDescent="0.25">
      <c r="O654" s="48" t="str" cm="1">
        <f t="array" ref="O654" xml:space="preserve"> IF(AND($L654 &lt;&gt; "", $L654 &lt;&gt; "Removed"), N654 + _xlfn.IFS(_xlfn.TEXTAFTER(L654," ",1) = "Days", _xlfn.NUMBERVALUE(_xlfn.TEXTBEFORE(L654," ",1)), L654="18 Months", 547, _xlfn.TEXTAFTER(L654," ",1) = "Years", _xlfn.NUMBERVALUE(_xlfn.TEXTBEFORE(L654," ",1))*365), "")</f>
        <v/>
      </c>
    </row>
    <row r="655" spans="15:15" ht="16.3" x14ac:dyDescent="0.25">
      <c r="O655" s="48" t="str" cm="1">
        <f t="array" ref="O655" xml:space="preserve"> IF(AND($L655 &lt;&gt; "", $L655 &lt;&gt; "Removed"), N655 + _xlfn.IFS(_xlfn.TEXTAFTER(L655," ",1) = "Days", _xlfn.NUMBERVALUE(_xlfn.TEXTBEFORE(L655," ",1)), L655="18 Months", 547, _xlfn.TEXTAFTER(L655," ",1) = "Years", _xlfn.NUMBERVALUE(_xlfn.TEXTBEFORE(L655," ",1))*365), "")</f>
        <v/>
      </c>
    </row>
    <row r="656" spans="15:15" ht="16.3" x14ac:dyDescent="0.25">
      <c r="O656" s="48" t="str" cm="1">
        <f t="array" ref="O656" xml:space="preserve"> IF(AND($L656 &lt;&gt; "", $L656 &lt;&gt; "Removed"), N656 + _xlfn.IFS(_xlfn.TEXTAFTER(L656," ",1) = "Days", _xlfn.NUMBERVALUE(_xlfn.TEXTBEFORE(L656," ",1)), L656="18 Months", 547, _xlfn.TEXTAFTER(L656," ",1) = "Years", _xlfn.NUMBERVALUE(_xlfn.TEXTBEFORE(L656," ",1))*365), "")</f>
        <v/>
      </c>
    </row>
    <row r="657" spans="15:15" ht="16.3" x14ac:dyDescent="0.25">
      <c r="O657" s="48" t="str" cm="1">
        <f t="array" ref="O657" xml:space="preserve"> IF(AND($L657 &lt;&gt; "", $L657 &lt;&gt; "Removed"), N657 + _xlfn.IFS(_xlfn.TEXTAFTER(L657," ",1) = "Days", _xlfn.NUMBERVALUE(_xlfn.TEXTBEFORE(L657," ",1)), L657="18 Months", 547, _xlfn.TEXTAFTER(L657," ",1) = "Years", _xlfn.NUMBERVALUE(_xlfn.TEXTBEFORE(L657," ",1))*365), "")</f>
        <v/>
      </c>
    </row>
    <row r="658" spans="15:15" ht="16.3" x14ac:dyDescent="0.25">
      <c r="O658" s="48" t="str" cm="1">
        <f t="array" ref="O658" xml:space="preserve"> IF(AND($L658 &lt;&gt; "", $L658 &lt;&gt; "Removed"), N658 + _xlfn.IFS(_xlfn.TEXTAFTER(L658," ",1) = "Days", _xlfn.NUMBERVALUE(_xlfn.TEXTBEFORE(L658," ",1)), L658="18 Months", 547, _xlfn.TEXTAFTER(L658," ",1) = "Years", _xlfn.NUMBERVALUE(_xlfn.TEXTBEFORE(L658," ",1))*365), "")</f>
        <v/>
      </c>
    </row>
    <row r="659" spans="15:15" ht="16.3" x14ac:dyDescent="0.25">
      <c r="O659" s="48" t="str" cm="1">
        <f t="array" ref="O659" xml:space="preserve"> IF(AND($L659 &lt;&gt; "", $L659 &lt;&gt; "Removed"), N659 + _xlfn.IFS(_xlfn.TEXTAFTER(L659," ",1) = "Days", _xlfn.NUMBERVALUE(_xlfn.TEXTBEFORE(L659," ",1)), L659="18 Months", 547, _xlfn.TEXTAFTER(L659," ",1) = "Years", _xlfn.NUMBERVALUE(_xlfn.TEXTBEFORE(L659," ",1))*365), "")</f>
        <v/>
      </c>
    </row>
    <row r="660" spans="15:15" ht="16.3" x14ac:dyDescent="0.25">
      <c r="O660" s="48" t="str" cm="1">
        <f t="array" ref="O660" xml:space="preserve"> IF(AND($L660 &lt;&gt; "", $L660 &lt;&gt; "Removed"), N660 + _xlfn.IFS(_xlfn.TEXTAFTER(L660," ",1) = "Days", _xlfn.NUMBERVALUE(_xlfn.TEXTBEFORE(L660," ",1)), L660="18 Months", 547, _xlfn.TEXTAFTER(L660," ",1) = "Years", _xlfn.NUMBERVALUE(_xlfn.TEXTBEFORE(L660," ",1))*365), "")</f>
        <v/>
      </c>
    </row>
    <row r="661" spans="15:15" ht="16.3" x14ac:dyDescent="0.25">
      <c r="O661" s="48" t="str" cm="1">
        <f t="array" ref="O661" xml:space="preserve"> IF(AND($L661 &lt;&gt; "", $L661 &lt;&gt; "Removed"), N661 + _xlfn.IFS(_xlfn.TEXTAFTER(L661," ",1) = "Days", _xlfn.NUMBERVALUE(_xlfn.TEXTBEFORE(L661," ",1)), L661="18 Months", 547, _xlfn.TEXTAFTER(L661," ",1) = "Years", _xlfn.NUMBERVALUE(_xlfn.TEXTBEFORE(L661," ",1))*365), "")</f>
        <v/>
      </c>
    </row>
    <row r="662" spans="15:15" ht="16.3" x14ac:dyDescent="0.25">
      <c r="O662" s="48" t="str" cm="1">
        <f t="array" ref="O662" xml:space="preserve"> IF(AND($L662 &lt;&gt; "", $L662 &lt;&gt; "Removed"), N662 + _xlfn.IFS(_xlfn.TEXTAFTER(L662," ",1) = "Days", _xlfn.NUMBERVALUE(_xlfn.TEXTBEFORE(L662," ",1)), L662="18 Months", 547, _xlfn.TEXTAFTER(L662," ",1) = "Years", _xlfn.NUMBERVALUE(_xlfn.TEXTBEFORE(L662," ",1))*365), "")</f>
        <v/>
      </c>
    </row>
    <row r="663" spans="15:15" ht="16.3" x14ac:dyDescent="0.25">
      <c r="O663" s="48" t="str" cm="1">
        <f t="array" ref="O663" xml:space="preserve"> IF(AND($L663 &lt;&gt; "", $L663 &lt;&gt; "Removed"), N663 + _xlfn.IFS(_xlfn.TEXTAFTER(L663," ",1) = "Days", _xlfn.NUMBERVALUE(_xlfn.TEXTBEFORE(L663," ",1)), L663="18 Months", 547, _xlfn.TEXTAFTER(L663," ",1) = "Years", _xlfn.NUMBERVALUE(_xlfn.TEXTBEFORE(L663," ",1))*365), "")</f>
        <v/>
      </c>
    </row>
    <row r="664" spans="15:15" ht="16.3" x14ac:dyDescent="0.25">
      <c r="O664" s="48" t="str" cm="1">
        <f t="array" ref="O664" xml:space="preserve"> IF(AND($L664 &lt;&gt; "", $L664 &lt;&gt; "Removed"), N664 + _xlfn.IFS(_xlfn.TEXTAFTER(L664," ",1) = "Days", _xlfn.NUMBERVALUE(_xlfn.TEXTBEFORE(L664," ",1)), L664="18 Months", 547, _xlfn.TEXTAFTER(L664," ",1) = "Years", _xlfn.NUMBERVALUE(_xlfn.TEXTBEFORE(L664," ",1))*365), "")</f>
        <v/>
      </c>
    </row>
    <row r="665" spans="15:15" ht="16.3" x14ac:dyDescent="0.25">
      <c r="O665" s="48" t="str" cm="1">
        <f t="array" ref="O665" xml:space="preserve"> IF(AND($L665 &lt;&gt; "", $L665 &lt;&gt; "Removed"), N665 + _xlfn.IFS(_xlfn.TEXTAFTER(L665," ",1) = "Days", _xlfn.NUMBERVALUE(_xlfn.TEXTBEFORE(L665," ",1)), L665="18 Months", 547, _xlfn.TEXTAFTER(L665," ",1) = "Years", _xlfn.NUMBERVALUE(_xlfn.TEXTBEFORE(L665," ",1))*365), "")</f>
        <v/>
      </c>
    </row>
    <row r="666" spans="15:15" ht="16.3" x14ac:dyDescent="0.25">
      <c r="O666" s="48" t="str" cm="1">
        <f t="array" ref="O666" xml:space="preserve"> IF(AND($L666 &lt;&gt; "", $L666 &lt;&gt; "Removed"), N666 + _xlfn.IFS(_xlfn.TEXTAFTER(L666," ",1) = "Days", _xlfn.NUMBERVALUE(_xlfn.TEXTBEFORE(L666," ",1)), L666="18 Months", 547, _xlfn.TEXTAFTER(L666," ",1) = "Years", _xlfn.NUMBERVALUE(_xlfn.TEXTBEFORE(L666," ",1))*365), "")</f>
        <v/>
      </c>
    </row>
    <row r="667" spans="15:15" ht="16.3" x14ac:dyDescent="0.25">
      <c r="O667" s="48" t="str" cm="1">
        <f t="array" ref="O667" xml:space="preserve"> IF(AND($L667 &lt;&gt; "", $L667 &lt;&gt; "Removed"), N667 + _xlfn.IFS(_xlfn.TEXTAFTER(L667," ",1) = "Days", _xlfn.NUMBERVALUE(_xlfn.TEXTBEFORE(L667," ",1)), L667="18 Months", 547, _xlfn.TEXTAFTER(L667," ",1) = "Years", _xlfn.NUMBERVALUE(_xlfn.TEXTBEFORE(L667," ",1))*365), "")</f>
        <v/>
      </c>
    </row>
    <row r="668" spans="15:15" ht="16.3" x14ac:dyDescent="0.25">
      <c r="O668" s="48" t="str" cm="1">
        <f t="array" ref="O668" xml:space="preserve"> IF(AND($L668 &lt;&gt; "", $L668 &lt;&gt; "Removed"), N668 + _xlfn.IFS(_xlfn.TEXTAFTER(L668," ",1) = "Days", _xlfn.NUMBERVALUE(_xlfn.TEXTBEFORE(L668," ",1)), L668="18 Months", 547, _xlfn.TEXTAFTER(L668," ",1) = "Years", _xlfn.NUMBERVALUE(_xlfn.TEXTBEFORE(L668," ",1))*365), "")</f>
        <v/>
      </c>
    </row>
    <row r="669" spans="15:15" ht="16.3" x14ac:dyDescent="0.25">
      <c r="O669" s="48" t="str" cm="1">
        <f t="array" ref="O669" xml:space="preserve"> IF(AND($L669 &lt;&gt; "", $L669 &lt;&gt; "Removed"), N669 + _xlfn.IFS(_xlfn.TEXTAFTER(L669," ",1) = "Days", _xlfn.NUMBERVALUE(_xlfn.TEXTBEFORE(L669," ",1)), L669="18 Months", 547, _xlfn.TEXTAFTER(L669," ",1) = "Years", _xlfn.NUMBERVALUE(_xlfn.TEXTBEFORE(L669," ",1))*365), "")</f>
        <v/>
      </c>
    </row>
    <row r="670" spans="15:15" ht="16.3" x14ac:dyDescent="0.25">
      <c r="O670" s="48" t="str" cm="1">
        <f t="array" ref="O670" xml:space="preserve"> IF(AND($L670 &lt;&gt; "", $L670 &lt;&gt; "Removed"), N670 + _xlfn.IFS(_xlfn.TEXTAFTER(L670," ",1) = "Days", _xlfn.NUMBERVALUE(_xlfn.TEXTBEFORE(L670," ",1)), L670="18 Months", 547, _xlfn.TEXTAFTER(L670," ",1) = "Years", _xlfn.NUMBERVALUE(_xlfn.TEXTBEFORE(L670," ",1))*365), "")</f>
        <v/>
      </c>
    </row>
    <row r="671" spans="15:15" ht="16.3" x14ac:dyDescent="0.25">
      <c r="O671" s="48" t="str" cm="1">
        <f t="array" ref="O671" xml:space="preserve"> IF(AND($L671 &lt;&gt; "", $L671 &lt;&gt; "Removed"), N671 + _xlfn.IFS(_xlfn.TEXTAFTER(L671," ",1) = "Days", _xlfn.NUMBERVALUE(_xlfn.TEXTBEFORE(L671," ",1)), L671="18 Months", 547, _xlfn.TEXTAFTER(L671," ",1) = "Years", _xlfn.NUMBERVALUE(_xlfn.TEXTBEFORE(L671," ",1))*365), "")</f>
        <v/>
      </c>
    </row>
    <row r="672" spans="15:15" ht="16.3" x14ac:dyDescent="0.25">
      <c r="O672" s="48" t="str" cm="1">
        <f t="array" ref="O672" xml:space="preserve"> IF(AND($L672 &lt;&gt; "", $L672 &lt;&gt; "Removed"), N672 + _xlfn.IFS(_xlfn.TEXTAFTER(L672," ",1) = "Days", _xlfn.NUMBERVALUE(_xlfn.TEXTBEFORE(L672," ",1)), L672="18 Months", 547, _xlfn.TEXTAFTER(L672," ",1) = "Years", _xlfn.NUMBERVALUE(_xlfn.TEXTBEFORE(L672," ",1))*365), "")</f>
        <v/>
      </c>
    </row>
    <row r="673" spans="15:15" ht="16.3" x14ac:dyDescent="0.25">
      <c r="O673" s="48" t="str" cm="1">
        <f t="array" ref="O673" xml:space="preserve"> IF(AND($L673 &lt;&gt; "", $L673 &lt;&gt; "Removed"), N673 + _xlfn.IFS(_xlfn.TEXTAFTER(L673," ",1) = "Days", _xlfn.NUMBERVALUE(_xlfn.TEXTBEFORE(L673," ",1)), L673="18 Months", 547, _xlfn.TEXTAFTER(L673," ",1) = "Years", _xlfn.NUMBERVALUE(_xlfn.TEXTBEFORE(L673," ",1))*365), "")</f>
        <v/>
      </c>
    </row>
    <row r="674" spans="15:15" ht="16.3" x14ac:dyDescent="0.25">
      <c r="O674" s="48" t="str" cm="1">
        <f t="array" ref="O674" xml:space="preserve"> IF(AND($L674 &lt;&gt; "", $L674 &lt;&gt; "Removed"), N674 + _xlfn.IFS(_xlfn.TEXTAFTER(L674," ",1) = "Days", _xlfn.NUMBERVALUE(_xlfn.TEXTBEFORE(L674," ",1)), L674="18 Months", 547, _xlfn.TEXTAFTER(L674," ",1) = "Years", _xlfn.NUMBERVALUE(_xlfn.TEXTBEFORE(L674," ",1))*365), "")</f>
        <v/>
      </c>
    </row>
    <row r="675" spans="15:15" ht="16.3" x14ac:dyDescent="0.25">
      <c r="O675" s="48" t="str" cm="1">
        <f t="array" ref="O675" xml:space="preserve"> IF(AND($L675 &lt;&gt; "", $L675 &lt;&gt; "Removed"), N675 + _xlfn.IFS(_xlfn.TEXTAFTER(L675," ",1) = "Days", _xlfn.NUMBERVALUE(_xlfn.TEXTBEFORE(L675," ",1)), L675="18 Months", 547, _xlfn.TEXTAFTER(L675," ",1) = "Years", _xlfn.NUMBERVALUE(_xlfn.TEXTBEFORE(L675," ",1))*365), "")</f>
        <v/>
      </c>
    </row>
    <row r="676" spans="15:15" ht="16.3" x14ac:dyDescent="0.25">
      <c r="O676" s="48" t="str" cm="1">
        <f t="array" ref="O676" xml:space="preserve"> IF(AND($L676 &lt;&gt; "", $L676 &lt;&gt; "Removed"), N676 + _xlfn.IFS(_xlfn.TEXTAFTER(L676," ",1) = "Days", _xlfn.NUMBERVALUE(_xlfn.TEXTBEFORE(L676," ",1)), L676="18 Months", 547, _xlfn.TEXTAFTER(L676," ",1) = "Years", _xlfn.NUMBERVALUE(_xlfn.TEXTBEFORE(L676," ",1))*365), "")</f>
        <v/>
      </c>
    </row>
    <row r="677" spans="15:15" ht="16.3" x14ac:dyDescent="0.25">
      <c r="O677" s="48" t="str" cm="1">
        <f t="array" ref="O677" xml:space="preserve"> IF(AND($L677 &lt;&gt; "", $L677 &lt;&gt; "Removed"), N677 + _xlfn.IFS(_xlfn.TEXTAFTER(L677," ",1) = "Days", _xlfn.NUMBERVALUE(_xlfn.TEXTBEFORE(L677," ",1)), L677="18 Months", 547, _xlfn.TEXTAFTER(L677," ",1) = "Years", _xlfn.NUMBERVALUE(_xlfn.TEXTBEFORE(L677," ",1))*365), "")</f>
        <v/>
      </c>
    </row>
    <row r="678" spans="15:15" ht="16.3" x14ac:dyDescent="0.25">
      <c r="O678" s="48" t="str" cm="1">
        <f t="array" ref="O678" xml:space="preserve"> IF(AND($L678 &lt;&gt; "", $L678 &lt;&gt; "Removed"), N678 + _xlfn.IFS(_xlfn.TEXTAFTER(L678," ",1) = "Days", _xlfn.NUMBERVALUE(_xlfn.TEXTBEFORE(L678," ",1)), L678="18 Months", 547, _xlfn.TEXTAFTER(L678," ",1) = "Years", _xlfn.NUMBERVALUE(_xlfn.TEXTBEFORE(L678," ",1))*365), "")</f>
        <v/>
      </c>
    </row>
    <row r="679" spans="15:15" ht="16.3" x14ac:dyDescent="0.25">
      <c r="O679" s="48" t="str" cm="1">
        <f t="array" ref="O679" xml:space="preserve"> IF(AND($L679 &lt;&gt; "", $L679 &lt;&gt; "Removed"), N679 + _xlfn.IFS(_xlfn.TEXTAFTER(L679," ",1) = "Days", _xlfn.NUMBERVALUE(_xlfn.TEXTBEFORE(L679," ",1)), L679="18 Months", 547, _xlfn.TEXTAFTER(L679," ",1) = "Years", _xlfn.NUMBERVALUE(_xlfn.TEXTBEFORE(L679," ",1))*365), "")</f>
        <v/>
      </c>
    </row>
    <row r="680" spans="15:15" ht="16.3" x14ac:dyDescent="0.25">
      <c r="O680" s="48" t="str" cm="1">
        <f t="array" ref="O680" xml:space="preserve"> IF(AND($L680 &lt;&gt; "", $L680 &lt;&gt; "Removed"), N680 + _xlfn.IFS(_xlfn.TEXTAFTER(L680," ",1) = "Days", _xlfn.NUMBERVALUE(_xlfn.TEXTBEFORE(L680," ",1)), L680="18 Months", 547, _xlfn.TEXTAFTER(L680," ",1) = "Years", _xlfn.NUMBERVALUE(_xlfn.TEXTBEFORE(L680," ",1))*365), "")</f>
        <v/>
      </c>
    </row>
    <row r="681" spans="15:15" ht="16.3" x14ac:dyDescent="0.25">
      <c r="O681" s="48" t="str" cm="1">
        <f t="array" ref="O681" xml:space="preserve"> IF(AND($L681 &lt;&gt; "", $L681 &lt;&gt; "Removed"), N681 + _xlfn.IFS(_xlfn.TEXTAFTER(L681," ",1) = "Days", _xlfn.NUMBERVALUE(_xlfn.TEXTBEFORE(L681," ",1)), L681="18 Months", 547, _xlfn.TEXTAFTER(L681," ",1) = "Years", _xlfn.NUMBERVALUE(_xlfn.TEXTBEFORE(L681," ",1))*365), "")</f>
        <v/>
      </c>
    </row>
    <row r="682" spans="15:15" ht="16.3" x14ac:dyDescent="0.25">
      <c r="O682" s="48" t="str" cm="1">
        <f t="array" ref="O682" xml:space="preserve"> IF(AND($L682 &lt;&gt; "", $L682 &lt;&gt; "Removed"), N682 + _xlfn.IFS(_xlfn.TEXTAFTER(L682," ",1) = "Days", _xlfn.NUMBERVALUE(_xlfn.TEXTBEFORE(L682," ",1)), L682="18 Months", 547, _xlfn.TEXTAFTER(L682," ",1) = "Years", _xlfn.NUMBERVALUE(_xlfn.TEXTBEFORE(L682," ",1))*365), "")</f>
        <v/>
      </c>
    </row>
    <row r="683" spans="15:15" ht="16.3" x14ac:dyDescent="0.25">
      <c r="O683" s="48" t="str" cm="1">
        <f t="array" ref="O683" xml:space="preserve"> IF(AND($L683 &lt;&gt; "", $L683 &lt;&gt; "Removed"), N683 + _xlfn.IFS(_xlfn.TEXTAFTER(L683," ",1) = "Days", _xlfn.NUMBERVALUE(_xlfn.TEXTBEFORE(L683," ",1)), L683="18 Months", 547, _xlfn.TEXTAFTER(L683," ",1) = "Years", _xlfn.NUMBERVALUE(_xlfn.TEXTBEFORE(L683," ",1))*365), "")</f>
        <v/>
      </c>
    </row>
    <row r="684" spans="15:15" ht="16.3" x14ac:dyDescent="0.25">
      <c r="O684" s="48" t="str" cm="1">
        <f t="array" ref="O684" xml:space="preserve"> IF(AND($L684 &lt;&gt; "", $L684 &lt;&gt; "Removed"), N684 + _xlfn.IFS(_xlfn.TEXTAFTER(L684," ",1) = "Days", _xlfn.NUMBERVALUE(_xlfn.TEXTBEFORE(L684," ",1)), L684="18 Months", 547, _xlfn.TEXTAFTER(L684," ",1) = "Years", _xlfn.NUMBERVALUE(_xlfn.TEXTBEFORE(L684," ",1))*365), "")</f>
        <v/>
      </c>
    </row>
    <row r="685" spans="15:15" ht="16.3" x14ac:dyDescent="0.25">
      <c r="O685" s="48" t="str" cm="1">
        <f t="array" ref="O685" xml:space="preserve"> IF(AND($L685 &lt;&gt; "", $L685 &lt;&gt; "Removed"), N685 + _xlfn.IFS(_xlfn.TEXTAFTER(L685," ",1) = "Days", _xlfn.NUMBERVALUE(_xlfn.TEXTBEFORE(L685," ",1)), L685="18 Months", 547, _xlfn.TEXTAFTER(L685," ",1) = "Years", _xlfn.NUMBERVALUE(_xlfn.TEXTBEFORE(L685," ",1))*365), "")</f>
        <v/>
      </c>
    </row>
    <row r="686" spans="15:15" ht="16.3" x14ac:dyDescent="0.25">
      <c r="O686" s="48" t="str" cm="1">
        <f t="array" ref="O686" xml:space="preserve"> IF(AND($L686 &lt;&gt; "", $L686 &lt;&gt; "Removed"), N686 + _xlfn.IFS(_xlfn.TEXTAFTER(L686," ",1) = "Days", _xlfn.NUMBERVALUE(_xlfn.TEXTBEFORE(L686," ",1)), L686="18 Months", 547, _xlfn.TEXTAFTER(L686," ",1) = "Years", _xlfn.NUMBERVALUE(_xlfn.TEXTBEFORE(L686," ",1))*365), "")</f>
        <v/>
      </c>
    </row>
    <row r="687" spans="15:15" ht="16.3" x14ac:dyDescent="0.25">
      <c r="O687" s="48" t="str" cm="1">
        <f t="array" ref="O687" xml:space="preserve"> IF(AND($L687 &lt;&gt; "", $L687 &lt;&gt; "Removed"), N687 + _xlfn.IFS(_xlfn.TEXTAFTER(L687," ",1) = "Days", _xlfn.NUMBERVALUE(_xlfn.TEXTBEFORE(L687," ",1)), L687="18 Months", 547, _xlfn.TEXTAFTER(L687," ",1) = "Years", _xlfn.NUMBERVALUE(_xlfn.TEXTBEFORE(L687," ",1))*365), "")</f>
        <v/>
      </c>
    </row>
    <row r="688" spans="15:15" ht="16.3" x14ac:dyDescent="0.25">
      <c r="O688" s="48" t="str" cm="1">
        <f t="array" ref="O688" xml:space="preserve"> IF(AND($L688 &lt;&gt; "", $L688 &lt;&gt; "Removed"), N688 + _xlfn.IFS(_xlfn.TEXTAFTER(L688," ",1) = "Days", _xlfn.NUMBERVALUE(_xlfn.TEXTBEFORE(L688," ",1)), L688="18 Months", 547, _xlfn.TEXTAFTER(L688," ",1) = "Years", _xlfn.NUMBERVALUE(_xlfn.TEXTBEFORE(L688," ",1))*365), "")</f>
        <v/>
      </c>
    </row>
    <row r="689" spans="15:15" ht="16.3" x14ac:dyDescent="0.25">
      <c r="O689" s="48" t="str" cm="1">
        <f t="array" ref="O689" xml:space="preserve"> IF(AND($L689 &lt;&gt; "", $L689 &lt;&gt; "Removed"), N689 + _xlfn.IFS(_xlfn.TEXTAFTER(L689," ",1) = "Days", _xlfn.NUMBERVALUE(_xlfn.TEXTBEFORE(L689," ",1)), L689="18 Months", 547, _xlfn.TEXTAFTER(L689," ",1) = "Years", _xlfn.NUMBERVALUE(_xlfn.TEXTBEFORE(L689," ",1))*365), "")</f>
        <v/>
      </c>
    </row>
    <row r="690" spans="15:15" ht="16.3" x14ac:dyDescent="0.25">
      <c r="O690" s="48" t="str" cm="1">
        <f t="array" ref="O690" xml:space="preserve"> IF(AND($L690 &lt;&gt; "", $L690 &lt;&gt; "Removed"), N690 + _xlfn.IFS(_xlfn.TEXTAFTER(L690," ",1) = "Days", _xlfn.NUMBERVALUE(_xlfn.TEXTBEFORE(L690," ",1)), L690="18 Months", 547, _xlfn.TEXTAFTER(L690," ",1) = "Years", _xlfn.NUMBERVALUE(_xlfn.TEXTBEFORE(L690," ",1))*365), "")</f>
        <v/>
      </c>
    </row>
    <row r="691" spans="15:15" ht="16.3" x14ac:dyDescent="0.25">
      <c r="O691" s="48" t="str" cm="1">
        <f t="array" ref="O691" xml:space="preserve"> IF(AND($L691 &lt;&gt; "", $L691 &lt;&gt; "Removed"), N691 + _xlfn.IFS(_xlfn.TEXTAFTER(L691," ",1) = "Days", _xlfn.NUMBERVALUE(_xlfn.TEXTBEFORE(L691," ",1)), L691="18 Months", 547, _xlfn.TEXTAFTER(L691," ",1) = "Years", _xlfn.NUMBERVALUE(_xlfn.TEXTBEFORE(L691," ",1))*365), "")</f>
        <v/>
      </c>
    </row>
    <row r="692" spans="15:15" ht="16.3" x14ac:dyDescent="0.25">
      <c r="O692" s="48" t="str" cm="1">
        <f t="array" ref="O692" xml:space="preserve"> IF(AND($L692 &lt;&gt; "", $L692 &lt;&gt; "Removed"), N692 + _xlfn.IFS(_xlfn.TEXTAFTER(L692," ",1) = "Days", _xlfn.NUMBERVALUE(_xlfn.TEXTBEFORE(L692," ",1)), L692="18 Months", 547, _xlfn.TEXTAFTER(L692," ",1) = "Years", _xlfn.NUMBERVALUE(_xlfn.TEXTBEFORE(L692," ",1))*365), "")</f>
        <v/>
      </c>
    </row>
    <row r="693" spans="15:15" ht="16.3" x14ac:dyDescent="0.25">
      <c r="O693" s="48" t="str" cm="1">
        <f t="array" ref="O693" xml:space="preserve"> IF(AND($L693 &lt;&gt; "", $L693 &lt;&gt; "Removed"), N693 + _xlfn.IFS(_xlfn.TEXTAFTER(L693," ",1) = "Days", _xlfn.NUMBERVALUE(_xlfn.TEXTBEFORE(L693," ",1)), L693="18 Months", 547, _xlfn.TEXTAFTER(L693," ",1) = "Years", _xlfn.NUMBERVALUE(_xlfn.TEXTBEFORE(L693," ",1))*365), "")</f>
        <v/>
      </c>
    </row>
    <row r="694" spans="15:15" ht="16.3" x14ac:dyDescent="0.25">
      <c r="O694" s="48" t="str" cm="1">
        <f t="array" ref="O694" xml:space="preserve"> IF(AND($L694 &lt;&gt; "", $L694 &lt;&gt; "Removed"), N694 + _xlfn.IFS(_xlfn.TEXTAFTER(L694," ",1) = "Days", _xlfn.NUMBERVALUE(_xlfn.TEXTBEFORE(L694," ",1)), L694="18 Months", 547, _xlfn.TEXTAFTER(L694," ",1) = "Years", _xlfn.NUMBERVALUE(_xlfn.TEXTBEFORE(L694," ",1))*365), "")</f>
        <v/>
      </c>
    </row>
    <row r="695" spans="15:15" ht="16.3" x14ac:dyDescent="0.25">
      <c r="O695" s="48" t="str" cm="1">
        <f t="array" ref="O695" xml:space="preserve"> IF(AND($L695 &lt;&gt; "", $L695 &lt;&gt; "Removed"), N695 + _xlfn.IFS(_xlfn.TEXTAFTER(L695," ",1) = "Days", _xlfn.NUMBERVALUE(_xlfn.TEXTBEFORE(L695," ",1)), L695="18 Months", 547, _xlfn.TEXTAFTER(L695," ",1) = "Years", _xlfn.NUMBERVALUE(_xlfn.TEXTBEFORE(L695," ",1))*365), "")</f>
        <v/>
      </c>
    </row>
    <row r="696" spans="15:15" ht="16.3" x14ac:dyDescent="0.25">
      <c r="O696" s="48" t="str" cm="1">
        <f t="array" ref="O696" xml:space="preserve"> IF(AND($L696 &lt;&gt; "", $L696 &lt;&gt; "Removed"), N696 + _xlfn.IFS(_xlfn.TEXTAFTER(L696," ",1) = "Days", _xlfn.NUMBERVALUE(_xlfn.TEXTBEFORE(L696," ",1)), L696="18 Months", 547, _xlfn.TEXTAFTER(L696," ",1) = "Years", _xlfn.NUMBERVALUE(_xlfn.TEXTBEFORE(L696," ",1))*365), "")</f>
        <v/>
      </c>
    </row>
    <row r="697" spans="15:15" ht="16.3" x14ac:dyDescent="0.25">
      <c r="O697" s="48" t="str" cm="1">
        <f t="array" ref="O697" xml:space="preserve"> IF(AND($L697 &lt;&gt; "", $L697 &lt;&gt; "Removed"), N697 + _xlfn.IFS(_xlfn.TEXTAFTER(L697," ",1) = "Days", _xlfn.NUMBERVALUE(_xlfn.TEXTBEFORE(L697," ",1)), L697="18 Months", 547, _xlfn.TEXTAFTER(L697," ",1) = "Years", _xlfn.NUMBERVALUE(_xlfn.TEXTBEFORE(L697," ",1))*365), "")</f>
        <v/>
      </c>
    </row>
    <row r="698" spans="15:15" ht="16.3" x14ac:dyDescent="0.25">
      <c r="O698" s="48" t="str" cm="1">
        <f t="array" ref="O698" xml:space="preserve"> IF(AND($L698 &lt;&gt; "", $L698 &lt;&gt; "Removed"), N698 + _xlfn.IFS(_xlfn.TEXTAFTER(L698," ",1) = "Days", _xlfn.NUMBERVALUE(_xlfn.TEXTBEFORE(L698," ",1)), L698="18 Months", 547, _xlfn.TEXTAFTER(L698," ",1) = "Years", _xlfn.NUMBERVALUE(_xlfn.TEXTBEFORE(L698," ",1))*365), "")</f>
        <v/>
      </c>
    </row>
    <row r="699" spans="15:15" ht="16.3" x14ac:dyDescent="0.25">
      <c r="O699" s="48" t="str" cm="1">
        <f t="array" ref="O699" xml:space="preserve"> IF(AND($L699 &lt;&gt; "", $L699 &lt;&gt; "Removed"), N699 + _xlfn.IFS(_xlfn.TEXTAFTER(L699," ",1) = "Days", _xlfn.NUMBERVALUE(_xlfn.TEXTBEFORE(L699," ",1)), L699="18 Months", 547, _xlfn.TEXTAFTER(L699," ",1) = "Years", _xlfn.NUMBERVALUE(_xlfn.TEXTBEFORE(L699," ",1))*365), "")</f>
        <v/>
      </c>
    </row>
    <row r="700" spans="15:15" ht="16.3" x14ac:dyDescent="0.25">
      <c r="O700" s="48" t="str" cm="1">
        <f t="array" ref="O700" xml:space="preserve"> IF(AND($L700 &lt;&gt; "", $L700 &lt;&gt; "Removed"), N700 + _xlfn.IFS(_xlfn.TEXTAFTER(L700," ",1) = "Days", _xlfn.NUMBERVALUE(_xlfn.TEXTBEFORE(L700," ",1)), L700="18 Months", 547, _xlfn.TEXTAFTER(L700," ",1) = "Years", _xlfn.NUMBERVALUE(_xlfn.TEXTBEFORE(L700," ",1))*365), "")</f>
        <v/>
      </c>
    </row>
    <row r="701" spans="15:15" ht="16.3" x14ac:dyDescent="0.25">
      <c r="O701" s="48" t="str" cm="1">
        <f t="array" ref="O701" xml:space="preserve"> IF(AND($L701 &lt;&gt; "", $L701 &lt;&gt; "Removed"), N701 + _xlfn.IFS(_xlfn.TEXTAFTER(L701," ",1) = "Days", _xlfn.NUMBERVALUE(_xlfn.TEXTBEFORE(L701," ",1)), L701="18 Months", 547, _xlfn.TEXTAFTER(L701," ",1) = "Years", _xlfn.NUMBERVALUE(_xlfn.TEXTBEFORE(L701," ",1))*365), "")</f>
        <v/>
      </c>
    </row>
    <row r="702" spans="15:15" ht="16.3" x14ac:dyDescent="0.25">
      <c r="O702" s="48" t="str" cm="1">
        <f t="array" ref="O702" xml:space="preserve"> IF(AND($L702 &lt;&gt; "", $L702 &lt;&gt; "Removed"), N702 + _xlfn.IFS(_xlfn.TEXTAFTER(L702," ",1) = "Days", _xlfn.NUMBERVALUE(_xlfn.TEXTBEFORE(L702," ",1)), L702="18 Months", 547, _xlfn.TEXTAFTER(L702," ",1) = "Years", _xlfn.NUMBERVALUE(_xlfn.TEXTBEFORE(L702," ",1))*365), "")</f>
        <v/>
      </c>
    </row>
    <row r="703" spans="15:15" ht="16.3" x14ac:dyDescent="0.25">
      <c r="O703" s="48" t="str" cm="1">
        <f t="array" ref="O703" xml:space="preserve"> IF(AND($L703 &lt;&gt; "", $L703 &lt;&gt; "Removed"), N703 + _xlfn.IFS(_xlfn.TEXTAFTER(L703," ",1) = "Days", _xlfn.NUMBERVALUE(_xlfn.TEXTBEFORE(L703," ",1)), L703="18 Months", 547, _xlfn.TEXTAFTER(L703," ",1) = "Years", _xlfn.NUMBERVALUE(_xlfn.TEXTBEFORE(L703," ",1))*365), "")</f>
        <v/>
      </c>
    </row>
    <row r="704" spans="15:15" ht="16.3" x14ac:dyDescent="0.25">
      <c r="O704" s="48" t="str" cm="1">
        <f t="array" ref="O704" xml:space="preserve"> IF(AND($L704 &lt;&gt; "", $L704 &lt;&gt; "Removed"), N704 + _xlfn.IFS(_xlfn.TEXTAFTER(L704," ",1) = "Days", _xlfn.NUMBERVALUE(_xlfn.TEXTBEFORE(L704," ",1)), L704="18 Months", 547, _xlfn.TEXTAFTER(L704," ",1) = "Years", _xlfn.NUMBERVALUE(_xlfn.TEXTBEFORE(L704," ",1))*365), "")</f>
        <v/>
      </c>
    </row>
    <row r="705" spans="15:15" ht="16.3" x14ac:dyDescent="0.25">
      <c r="O705" s="48" t="str" cm="1">
        <f t="array" ref="O705" xml:space="preserve"> IF(AND($L705 &lt;&gt; "", $L705 &lt;&gt; "Removed"), N705 + _xlfn.IFS(_xlfn.TEXTAFTER(L705," ",1) = "Days", _xlfn.NUMBERVALUE(_xlfn.TEXTBEFORE(L705," ",1)), L705="18 Months", 547, _xlfn.TEXTAFTER(L705," ",1) = "Years", _xlfn.NUMBERVALUE(_xlfn.TEXTBEFORE(L705," ",1))*365), "")</f>
        <v/>
      </c>
    </row>
    <row r="706" spans="15:15" ht="16.3" x14ac:dyDescent="0.25">
      <c r="O706" s="48" t="str" cm="1">
        <f t="array" ref="O706" xml:space="preserve"> IF(AND($L706 &lt;&gt; "", $L706 &lt;&gt; "Removed"), N706 + _xlfn.IFS(_xlfn.TEXTAFTER(L706," ",1) = "Days", _xlfn.NUMBERVALUE(_xlfn.TEXTBEFORE(L706," ",1)), L706="18 Months", 547, _xlfn.TEXTAFTER(L706," ",1) = "Years", _xlfn.NUMBERVALUE(_xlfn.TEXTBEFORE(L706," ",1))*365), "")</f>
        <v/>
      </c>
    </row>
    <row r="707" spans="15:15" ht="16.3" x14ac:dyDescent="0.25">
      <c r="O707" s="48" t="str" cm="1">
        <f t="array" ref="O707" xml:space="preserve"> IF(AND($L707 &lt;&gt; "", $L707 &lt;&gt; "Removed"), N707 + _xlfn.IFS(_xlfn.TEXTAFTER(L707," ",1) = "Days", _xlfn.NUMBERVALUE(_xlfn.TEXTBEFORE(L707," ",1)), L707="18 Months", 547, _xlfn.TEXTAFTER(L707," ",1) = "Years", _xlfn.NUMBERVALUE(_xlfn.TEXTBEFORE(L707," ",1))*365), "")</f>
        <v/>
      </c>
    </row>
    <row r="708" spans="15:15" ht="16.3" x14ac:dyDescent="0.25">
      <c r="O708" s="48" t="str" cm="1">
        <f t="array" ref="O708" xml:space="preserve"> IF(AND($L708 &lt;&gt; "", $L708 &lt;&gt; "Removed"), N708 + _xlfn.IFS(_xlfn.TEXTAFTER(L708," ",1) = "Days", _xlfn.NUMBERVALUE(_xlfn.TEXTBEFORE(L708," ",1)), L708="18 Months", 547, _xlfn.TEXTAFTER(L708," ",1) = "Years", _xlfn.NUMBERVALUE(_xlfn.TEXTBEFORE(L708," ",1))*365), "")</f>
        <v/>
      </c>
    </row>
    <row r="709" spans="15:15" ht="16.3" x14ac:dyDescent="0.25">
      <c r="O709" s="48" t="str" cm="1">
        <f t="array" ref="O709" xml:space="preserve"> IF(AND($L709 &lt;&gt; "", $L709 &lt;&gt; "Removed"), N709 + _xlfn.IFS(_xlfn.TEXTAFTER(L709," ",1) = "Days", _xlfn.NUMBERVALUE(_xlfn.TEXTBEFORE(L709," ",1)), L709="18 Months", 547, _xlfn.TEXTAFTER(L709," ",1) = "Years", _xlfn.NUMBERVALUE(_xlfn.TEXTBEFORE(L709," ",1))*365), "")</f>
        <v/>
      </c>
    </row>
    <row r="710" spans="15:15" ht="16.3" x14ac:dyDescent="0.25">
      <c r="O710" s="48" t="str" cm="1">
        <f t="array" ref="O710" xml:space="preserve"> IF(AND($L710 &lt;&gt; "", $L710 &lt;&gt; "Removed"), N710 + _xlfn.IFS(_xlfn.TEXTAFTER(L710," ",1) = "Days", _xlfn.NUMBERVALUE(_xlfn.TEXTBEFORE(L710," ",1)), L710="18 Months", 547, _xlfn.TEXTAFTER(L710," ",1) = "Years", _xlfn.NUMBERVALUE(_xlfn.TEXTBEFORE(L710," ",1))*365), "")</f>
        <v/>
      </c>
    </row>
    <row r="711" spans="15:15" ht="16.3" x14ac:dyDescent="0.25">
      <c r="O711" s="48" t="str" cm="1">
        <f t="array" ref="O711" xml:space="preserve"> IF(AND($L711 &lt;&gt; "", $L711 &lt;&gt; "Removed"), N711 + _xlfn.IFS(_xlfn.TEXTAFTER(L711," ",1) = "Days", _xlfn.NUMBERVALUE(_xlfn.TEXTBEFORE(L711," ",1)), L711="18 Months", 547, _xlfn.TEXTAFTER(L711," ",1) = "Years", _xlfn.NUMBERVALUE(_xlfn.TEXTBEFORE(L711," ",1))*365), "")</f>
        <v/>
      </c>
    </row>
    <row r="712" spans="15:15" ht="16.3" x14ac:dyDescent="0.25">
      <c r="O712" s="48" t="str" cm="1">
        <f t="array" ref="O712" xml:space="preserve"> IF(AND($L712 &lt;&gt; "", $L712 &lt;&gt; "Removed"), N712 + _xlfn.IFS(_xlfn.TEXTAFTER(L712," ",1) = "Days", _xlfn.NUMBERVALUE(_xlfn.TEXTBEFORE(L712," ",1)), L712="18 Months", 547, _xlfn.TEXTAFTER(L712," ",1) = "Years", _xlfn.NUMBERVALUE(_xlfn.TEXTBEFORE(L712," ",1))*365), "")</f>
        <v/>
      </c>
    </row>
    <row r="713" spans="15:15" ht="16.3" x14ac:dyDescent="0.25">
      <c r="O713" s="48" t="str" cm="1">
        <f t="array" ref="O713" xml:space="preserve"> IF(AND($L713 &lt;&gt; "", $L713 &lt;&gt; "Removed"), N713 + _xlfn.IFS(_xlfn.TEXTAFTER(L713," ",1) = "Days", _xlfn.NUMBERVALUE(_xlfn.TEXTBEFORE(L713," ",1)), L713="18 Months", 547, _xlfn.TEXTAFTER(L713," ",1) = "Years", _xlfn.NUMBERVALUE(_xlfn.TEXTBEFORE(L713," ",1))*365), "")</f>
        <v/>
      </c>
    </row>
    <row r="714" spans="15:15" ht="16.3" x14ac:dyDescent="0.25">
      <c r="O714" s="48" t="str" cm="1">
        <f t="array" ref="O714" xml:space="preserve"> IF(AND($L714 &lt;&gt; "", $L714 &lt;&gt; "Removed"), N714 + _xlfn.IFS(_xlfn.TEXTAFTER(L714," ",1) = "Days", _xlfn.NUMBERVALUE(_xlfn.TEXTBEFORE(L714," ",1)), L714="18 Months", 547, _xlfn.TEXTAFTER(L714," ",1) = "Years", _xlfn.NUMBERVALUE(_xlfn.TEXTBEFORE(L714," ",1))*365), "")</f>
        <v/>
      </c>
    </row>
    <row r="715" spans="15:15" ht="16.3" x14ac:dyDescent="0.25">
      <c r="O715" s="48" t="str" cm="1">
        <f t="array" ref="O715" xml:space="preserve"> IF(AND($L715 &lt;&gt; "", $L715 &lt;&gt; "Removed"), N715 + _xlfn.IFS(_xlfn.TEXTAFTER(L715," ",1) = "Days", _xlfn.NUMBERVALUE(_xlfn.TEXTBEFORE(L715," ",1)), L715="18 Months", 547, _xlfn.TEXTAFTER(L715," ",1) = "Years", _xlfn.NUMBERVALUE(_xlfn.TEXTBEFORE(L715," ",1))*365), "")</f>
        <v/>
      </c>
    </row>
    <row r="716" spans="15:15" ht="16.3" x14ac:dyDescent="0.25">
      <c r="O716" s="48" t="str" cm="1">
        <f t="array" ref="O716" xml:space="preserve"> IF(AND($L716 &lt;&gt; "", $L716 &lt;&gt; "Removed"), N716 + _xlfn.IFS(_xlfn.TEXTAFTER(L716," ",1) = "Days", _xlfn.NUMBERVALUE(_xlfn.TEXTBEFORE(L716," ",1)), L716="18 Months", 547, _xlfn.TEXTAFTER(L716," ",1) = "Years", _xlfn.NUMBERVALUE(_xlfn.TEXTBEFORE(L716," ",1))*365), "")</f>
        <v/>
      </c>
    </row>
    <row r="717" spans="15:15" ht="16.3" x14ac:dyDescent="0.25">
      <c r="O717" s="48" t="str" cm="1">
        <f t="array" ref="O717" xml:space="preserve"> IF(AND($L717 &lt;&gt; "", $L717 &lt;&gt; "Removed"), N717 + _xlfn.IFS(_xlfn.TEXTAFTER(L717," ",1) = "Days", _xlfn.NUMBERVALUE(_xlfn.TEXTBEFORE(L717," ",1)), L717="18 Months", 547, _xlfn.TEXTAFTER(L717," ",1) = "Years", _xlfn.NUMBERVALUE(_xlfn.TEXTBEFORE(L717," ",1))*365), "")</f>
        <v/>
      </c>
    </row>
    <row r="718" spans="15:15" ht="16.3" x14ac:dyDescent="0.25">
      <c r="O718" s="48" t="str" cm="1">
        <f t="array" ref="O718" xml:space="preserve"> IF(AND($L718 &lt;&gt; "", $L718 &lt;&gt; "Removed"), N718 + _xlfn.IFS(_xlfn.TEXTAFTER(L718," ",1) = "Days", _xlfn.NUMBERVALUE(_xlfn.TEXTBEFORE(L718," ",1)), L718="18 Months", 547, _xlfn.TEXTAFTER(L718," ",1) = "Years", _xlfn.NUMBERVALUE(_xlfn.TEXTBEFORE(L718," ",1))*365), "")</f>
        <v/>
      </c>
    </row>
    <row r="719" spans="15:15" ht="16.3" x14ac:dyDescent="0.25">
      <c r="O719" s="48" t="str" cm="1">
        <f t="array" ref="O719" xml:space="preserve"> IF(AND($L719 &lt;&gt; "", $L719 &lt;&gt; "Removed"), N719 + _xlfn.IFS(_xlfn.TEXTAFTER(L719," ",1) = "Days", _xlfn.NUMBERVALUE(_xlfn.TEXTBEFORE(L719," ",1)), L719="18 Months", 547, _xlfn.TEXTAFTER(L719," ",1) = "Years", _xlfn.NUMBERVALUE(_xlfn.TEXTBEFORE(L719," ",1))*365), "")</f>
        <v/>
      </c>
    </row>
    <row r="720" spans="15:15" ht="16.3" x14ac:dyDescent="0.25">
      <c r="O720" s="48" t="str" cm="1">
        <f t="array" ref="O720" xml:space="preserve"> IF(AND($L720 &lt;&gt; "", $L720 &lt;&gt; "Removed"), N720 + _xlfn.IFS(_xlfn.TEXTAFTER(L720," ",1) = "Days", _xlfn.NUMBERVALUE(_xlfn.TEXTBEFORE(L720," ",1)), L720="18 Months", 547, _xlfn.TEXTAFTER(L720," ",1) = "Years", _xlfn.NUMBERVALUE(_xlfn.TEXTBEFORE(L720," ",1))*365), "")</f>
        <v/>
      </c>
    </row>
    <row r="721" spans="15:15" ht="16.3" x14ac:dyDescent="0.25">
      <c r="O721" s="48" t="str" cm="1">
        <f t="array" ref="O721" xml:space="preserve"> IF(AND($L721 &lt;&gt; "", $L721 &lt;&gt; "Removed"), N721 + _xlfn.IFS(_xlfn.TEXTAFTER(L721," ",1) = "Days", _xlfn.NUMBERVALUE(_xlfn.TEXTBEFORE(L721," ",1)), L721="18 Months", 547, _xlfn.TEXTAFTER(L721," ",1) = "Years", _xlfn.NUMBERVALUE(_xlfn.TEXTBEFORE(L721," ",1))*365), "")</f>
        <v/>
      </c>
    </row>
    <row r="722" spans="15:15" ht="16.3" x14ac:dyDescent="0.25">
      <c r="O722" s="48" t="str" cm="1">
        <f t="array" ref="O722" xml:space="preserve"> IF(AND($L722 &lt;&gt; "", $L722 &lt;&gt; "Removed"), N722 + _xlfn.IFS(_xlfn.TEXTAFTER(L722," ",1) = "Days", _xlfn.NUMBERVALUE(_xlfn.TEXTBEFORE(L722," ",1)), L722="18 Months", 547, _xlfn.TEXTAFTER(L722," ",1) = "Years", _xlfn.NUMBERVALUE(_xlfn.TEXTBEFORE(L722," ",1))*365), "")</f>
        <v/>
      </c>
    </row>
    <row r="723" spans="15:15" ht="16.3" x14ac:dyDescent="0.25">
      <c r="O723" s="48" t="str" cm="1">
        <f t="array" ref="O723" xml:space="preserve"> IF(AND($L723 &lt;&gt; "", $L723 &lt;&gt; "Removed"), N723 + _xlfn.IFS(_xlfn.TEXTAFTER(L723," ",1) = "Days", _xlfn.NUMBERVALUE(_xlfn.TEXTBEFORE(L723," ",1)), L723="18 Months", 547, _xlfn.TEXTAFTER(L723," ",1) = "Years", _xlfn.NUMBERVALUE(_xlfn.TEXTBEFORE(L723," ",1))*365), "")</f>
        <v/>
      </c>
    </row>
    <row r="724" spans="15:15" ht="16.3" x14ac:dyDescent="0.25">
      <c r="O724" s="48" t="str" cm="1">
        <f t="array" ref="O724" xml:space="preserve"> IF(AND($L724 &lt;&gt; "", $L724 &lt;&gt; "Removed"), N724 + _xlfn.IFS(_xlfn.TEXTAFTER(L724," ",1) = "Days", _xlfn.NUMBERVALUE(_xlfn.TEXTBEFORE(L724," ",1)), L724="18 Months", 547, _xlfn.TEXTAFTER(L724," ",1) = "Years", _xlfn.NUMBERVALUE(_xlfn.TEXTBEFORE(L724," ",1))*365), "")</f>
        <v/>
      </c>
    </row>
    <row r="725" spans="15:15" ht="16.3" x14ac:dyDescent="0.25">
      <c r="O725" s="48" t="str" cm="1">
        <f t="array" ref="O725" xml:space="preserve"> IF(AND($L725 &lt;&gt; "", $L725 &lt;&gt; "Removed"), N725 + _xlfn.IFS(_xlfn.TEXTAFTER(L725," ",1) = "Days", _xlfn.NUMBERVALUE(_xlfn.TEXTBEFORE(L725," ",1)), L725="18 Months", 547, _xlfn.TEXTAFTER(L725," ",1) = "Years", _xlfn.NUMBERVALUE(_xlfn.TEXTBEFORE(L725," ",1))*365), "")</f>
        <v/>
      </c>
    </row>
    <row r="726" spans="15:15" ht="16.3" x14ac:dyDescent="0.25">
      <c r="O726" s="48" t="str" cm="1">
        <f t="array" ref="O726" xml:space="preserve"> IF(AND($L726 &lt;&gt; "", $L726 &lt;&gt; "Removed"), N726 + _xlfn.IFS(_xlfn.TEXTAFTER(L726," ",1) = "Days", _xlfn.NUMBERVALUE(_xlfn.TEXTBEFORE(L726," ",1)), L726="18 Months", 547, _xlfn.TEXTAFTER(L726," ",1) = "Years", _xlfn.NUMBERVALUE(_xlfn.TEXTBEFORE(L726," ",1))*365), "")</f>
        <v/>
      </c>
    </row>
    <row r="727" spans="15:15" ht="16.3" x14ac:dyDescent="0.25">
      <c r="O727" s="48" t="str" cm="1">
        <f t="array" ref="O727" xml:space="preserve"> IF(AND($L727 &lt;&gt; "", $L727 &lt;&gt; "Removed"), N727 + _xlfn.IFS(_xlfn.TEXTAFTER(L727," ",1) = "Days", _xlfn.NUMBERVALUE(_xlfn.TEXTBEFORE(L727," ",1)), L727="18 Months", 547, _xlfn.TEXTAFTER(L727," ",1) = "Years", _xlfn.NUMBERVALUE(_xlfn.TEXTBEFORE(L727," ",1))*365), "")</f>
        <v/>
      </c>
    </row>
    <row r="728" spans="15:15" ht="16.3" x14ac:dyDescent="0.25">
      <c r="O728" s="48" t="str" cm="1">
        <f t="array" ref="O728" xml:space="preserve"> IF(AND($L728 &lt;&gt; "", $L728 &lt;&gt; "Removed"), N728 + _xlfn.IFS(_xlfn.TEXTAFTER(L728," ",1) = "Days", _xlfn.NUMBERVALUE(_xlfn.TEXTBEFORE(L728," ",1)), L728="18 Months", 547, _xlfn.TEXTAFTER(L728," ",1) = "Years", _xlfn.NUMBERVALUE(_xlfn.TEXTBEFORE(L728," ",1))*365), "")</f>
        <v/>
      </c>
    </row>
    <row r="729" spans="15:15" ht="16.3" x14ac:dyDescent="0.25">
      <c r="O729" s="48" t="str" cm="1">
        <f t="array" ref="O729" xml:space="preserve"> IF(AND($L729 &lt;&gt; "", $L729 &lt;&gt; "Removed"), N729 + _xlfn.IFS(_xlfn.TEXTAFTER(L729," ",1) = "Days", _xlfn.NUMBERVALUE(_xlfn.TEXTBEFORE(L729," ",1)), L729="18 Months", 547, _xlfn.TEXTAFTER(L729," ",1) = "Years", _xlfn.NUMBERVALUE(_xlfn.TEXTBEFORE(L729," ",1))*365), "")</f>
        <v/>
      </c>
    </row>
    <row r="730" spans="15:15" ht="16.3" x14ac:dyDescent="0.25">
      <c r="O730" s="48" t="str" cm="1">
        <f t="array" ref="O730" xml:space="preserve"> IF(AND($L730 &lt;&gt; "", $L730 &lt;&gt; "Removed"), N730 + _xlfn.IFS(_xlfn.TEXTAFTER(L730," ",1) = "Days", _xlfn.NUMBERVALUE(_xlfn.TEXTBEFORE(L730," ",1)), L730="18 Months", 547, _xlfn.TEXTAFTER(L730," ",1) = "Years", _xlfn.NUMBERVALUE(_xlfn.TEXTBEFORE(L730," ",1))*365), "")</f>
        <v/>
      </c>
    </row>
    <row r="731" spans="15:15" ht="16.3" x14ac:dyDescent="0.25">
      <c r="O731" s="48" t="str" cm="1">
        <f t="array" ref="O731" xml:space="preserve"> IF(AND($L731 &lt;&gt; "", $L731 &lt;&gt; "Removed"), N731 + _xlfn.IFS(_xlfn.TEXTAFTER(L731," ",1) = "Days", _xlfn.NUMBERVALUE(_xlfn.TEXTBEFORE(L731," ",1)), L731="18 Months", 547, _xlfn.TEXTAFTER(L731," ",1) = "Years", _xlfn.NUMBERVALUE(_xlfn.TEXTBEFORE(L731," ",1))*365), "")</f>
        <v/>
      </c>
    </row>
    <row r="732" spans="15:15" ht="16.3" x14ac:dyDescent="0.25">
      <c r="O732" s="48" t="str" cm="1">
        <f t="array" ref="O732" xml:space="preserve"> IF(AND($L732 &lt;&gt; "", $L732 &lt;&gt; "Removed"), N732 + _xlfn.IFS(_xlfn.TEXTAFTER(L732," ",1) = "Days", _xlfn.NUMBERVALUE(_xlfn.TEXTBEFORE(L732," ",1)), L732="18 Months", 547, _xlfn.TEXTAFTER(L732," ",1) = "Years", _xlfn.NUMBERVALUE(_xlfn.TEXTBEFORE(L732," ",1))*365), "")</f>
        <v/>
      </c>
    </row>
    <row r="733" spans="15:15" ht="16.3" x14ac:dyDescent="0.25">
      <c r="O733" s="48" t="str" cm="1">
        <f t="array" ref="O733" xml:space="preserve"> IF(AND($L733 &lt;&gt; "", $L733 &lt;&gt; "Removed"), N733 + _xlfn.IFS(_xlfn.TEXTAFTER(L733," ",1) = "Days", _xlfn.NUMBERVALUE(_xlfn.TEXTBEFORE(L733," ",1)), L733="18 Months", 547, _xlfn.TEXTAFTER(L733," ",1) = "Years", _xlfn.NUMBERVALUE(_xlfn.TEXTBEFORE(L733," ",1))*365), "")</f>
        <v/>
      </c>
    </row>
    <row r="734" spans="15:15" ht="16.3" x14ac:dyDescent="0.25">
      <c r="O734" s="48" t="str" cm="1">
        <f t="array" ref="O734" xml:space="preserve"> IF(AND($L734 &lt;&gt; "", $L734 &lt;&gt; "Removed"), N734 + _xlfn.IFS(_xlfn.TEXTAFTER(L734," ",1) = "Days", _xlfn.NUMBERVALUE(_xlfn.TEXTBEFORE(L734," ",1)), L734="18 Months", 547, _xlfn.TEXTAFTER(L734," ",1) = "Years", _xlfn.NUMBERVALUE(_xlfn.TEXTBEFORE(L734," ",1))*365), "")</f>
        <v/>
      </c>
    </row>
    <row r="735" spans="15:15" ht="16.3" x14ac:dyDescent="0.25">
      <c r="O735" s="48" t="str" cm="1">
        <f t="array" ref="O735" xml:space="preserve"> IF(AND($L735 &lt;&gt; "", $L735 &lt;&gt; "Removed"), N735 + _xlfn.IFS(_xlfn.TEXTAFTER(L735," ",1) = "Days", _xlfn.NUMBERVALUE(_xlfn.TEXTBEFORE(L735," ",1)), L735="18 Months", 547, _xlfn.TEXTAFTER(L735," ",1) = "Years", _xlfn.NUMBERVALUE(_xlfn.TEXTBEFORE(L735," ",1))*365), "")</f>
        <v/>
      </c>
    </row>
    <row r="736" spans="15:15" ht="16.3" x14ac:dyDescent="0.25">
      <c r="O736" s="48" t="str" cm="1">
        <f t="array" ref="O736" xml:space="preserve"> IF(AND($L736 &lt;&gt; "", $L736 &lt;&gt; "Removed"), N736 + _xlfn.IFS(_xlfn.TEXTAFTER(L736," ",1) = "Days", _xlfn.NUMBERVALUE(_xlfn.TEXTBEFORE(L736," ",1)), L736="18 Months", 547, _xlfn.TEXTAFTER(L736," ",1) = "Years", _xlfn.NUMBERVALUE(_xlfn.TEXTBEFORE(L736," ",1))*365), "")</f>
        <v/>
      </c>
    </row>
    <row r="737" spans="15:15" ht="16.3" x14ac:dyDescent="0.25">
      <c r="O737" s="48" t="str" cm="1">
        <f t="array" ref="O737" xml:space="preserve"> IF(AND($L737 &lt;&gt; "", $L737 &lt;&gt; "Removed"), N737 + _xlfn.IFS(_xlfn.TEXTAFTER(L737," ",1) = "Days", _xlfn.NUMBERVALUE(_xlfn.TEXTBEFORE(L737," ",1)), L737="18 Months", 547, _xlfn.TEXTAFTER(L737," ",1) = "Years", _xlfn.NUMBERVALUE(_xlfn.TEXTBEFORE(L737," ",1))*365), "")</f>
        <v/>
      </c>
    </row>
    <row r="738" spans="15:15" ht="16.3" x14ac:dyDescent="0.25">
      <c r="O738" s="48" t="str" cm="1">
        <f t="array" ref="O738" xml:space="preserve"> IF(AND($L738 &lt;&gt; "", $L738 &lt;&gt; "Removed"), N738 + _xlfn.IFS(_xlfn.TEXTAFTER(L738," ",1) = "Days", _xlfn.NUMBERVALUE(_xlfn.TEXTBEFORE(L738," ",1)), L738="18 Months", 547, _xlfn.TEXTAFTER(L738," ",1) = "Years", _xlfn.NUMBERVALUE(_xlfn.TEXTBEFORE(L738," ",1))*365), "")</f>
        <v/>
      </c>
    </row>
    <row r="739" spans="15:15" ht="16.3" x14ac:dyDescent="0.25">
      <c r="O739" s="48" t="str" cm="1">
        <f t="array" ref="O739" xml:space="preserve"> IF(AND($L739 &lt;&gt; "", $L739 &lt;&gt; "Removed"), N739 + _xlfn.IFS(_xlfn.TEXTAFTER(L739," ",1) = "Days", _xlfn.NUMBERVALUE(_xlfn.TEXTBEFORE(L739," ",1)), L739="18 Months", 547, _xlfn.TEXTAFTER(L739," ",1) = "Years", _xlfn.NUMBERVALUE(_xlfn.TEXTBEFORE(L739," ",1))*365), "")</f>
        <v/>
      </c>
    </row>
    <row r="740" spans="15:15" ht="16.3" x14ac:dyDescent="0.25">
      <c r="O740" s="48" t="str" cm="1">
        <f t="array" ref="O740" xml:space="preserve"> IF(AND($L740 &lt;&gt; "", $L740 &lt;&gt; "Removed"), N740 + _xlfn.IFS(_xlfn.TEXTAFTER(L740," ",1) = "Days", _xlfn.NUMBERVALUE(_xlfn.TEXTBEFORE(L740," ",1)), L740="18 Months", 547, _xlfn.TEXTAFTER(L740," ",1) = "Years", _xlfn.NUMBERVALUE(_xlfn.TEXTBEFORE(L740," ",1))*365), "")</f>
        <v/>
      </c>
    </row>
    <row r="741" spans="15:15" ht="16.3" x14ac:dyDescent="0.25">
      <c r="O741" s="48" t="str" cm="1">
        <f t="array" ref="O741" xml:space="preserve"> IF(AND($L741 &lt;&gt; "", $L741 &lt;&gt; "Removed"), N741 + _xlfn.IFS(_xlfn.TEXTAFTER(L741," ",1) = "Days", _xlfn.NUMBERVALUE(_xlfn.TEXTBEFORE(L741," ",1)), L741="18 Months", 547, _xlfn.TEXTAFTER(L741," ",1) = "Years", _xlfn.NUMBERVALUE(_xlfn.TEXTBEFORE(L741," ",1))*365), "")</f>
        <v/>
      </c>
    </row>
    <row r="742" spans="15:15" ht="16.3" x14ac:dyDescent="0.25">
      <c r="O742" s="48" t="str" cm="1">
        <f t="array" ref="O742" xml:space="preserve"> IF(AND($L742 &lt;&gt; "", $L742 &lt;&gt; "Removed"), N742 + _xlfn.IFS(_xlfn.TEXTAFTER(L742," ",1) = "Days", _xlfn.NUMBERVALUE(_xlfn.TEXTBEFORE(L742," ",1)), L742="18 Months", 547, _xlfn.TEXTAFTER(L742," ",1) = "Years", _xlfn.NUMBERVALUE(_xlfn.TEXTBEFORE(L742," ",1))*365), "")</f>
        <v/>
      </c>
    </row>
    <row r="743" spans="15:15" ht="16.3" x14ac:dyDescent="0.25">
      <c r="O743" s="48" t="str" cm="1">
        <f t="array" ref="O743" xml:space="preserve"> IF(AND($L743 &lt;&gt; "", $L743 &lt;&gt; "Removed"), N743 + _xlfn.IFS(_xlfn.TEXTAFTER(L743," ",1) = "Days", _xlfn.NUMBERVALUE(_xlfn.TEXTBEFORE(L743," ",1)), L743="18 Months", 547, _xlfn.TEXTAFTER(L743," ",1) = "Years", _xlfn.NUMBERVALUE(_xlfn.TEXTBEFORE(L743," ",1))*365), "")</f>
        <v/>
      </c>
    </row>
    <row r="744" spans="15:15" ht="16.3" x14ac:dyDescent="0.25">
      <c r="O744" s="48" t="str" cm="1">
        <f t="array" ref="O744" xml:space="preserve"> IF(AND($L744 &lt;&gt; "", $L744 &lt;&gt; "Removed"), N744 + _xlfn.IFS(_xlfn.TEXTAFTER(L744," ",1) = "Days", _xlfn.NUMBERVALUE(_xlfn.TEXTBEFORE(L744," ",1)), L744="18 Months", 547, _xlfn.TEXTAFTER(L744," ",1) = "Years", _xlfn.NUMBERVALUE(_xlfn.TEXTBEFORE(L744," ",1))*365), "")</f>
        <v/>
      </c>
    </row>
    <row r="745" spans="15:15" ht="16.3" x14ac:dyDescent="0.25">
      <c r="O745" s="48" t="str" cm="1">
        <f t="array" ref="O745" xml:space="preserve"> IF(AND($L745 &lt;&gt; "", $L745 &lt;&gt; "Removed"), N745 + _xlfn.IFS(_xlfn.TEXTAFTER(L745," ",1) = "Days", _xlfn.NUMBERVALUE(_xlfn.TEXTBEFORE(L745," ",1)), L745="18 Months", 547, _xlfn.TEXTAFTER(L745," ",1) = "Years", _xlfn.NUMBERVALUE(_xlfn.TEXTBEFORE(L745," ",1))*365), "")</f>
        <v/>
      </c>
    </row>
    <row r="746" spans="15:15" ht="16.3" x14ac:dyDescent="0.25">
      <c r="O746" s="48" t="str" cm="1">
        <f t="array" ref="O746" xml:space="preserve"> IF(AND($L746 &lt;&gt; "", $L746 &lt;&gt; "Removed"), N746 + _xlfn.IFS(_xlfn.TEXTAFTER(L746," ",1) = "Days", _xlfn.NUMBERVALUE(_xlfn.TEXTBEFORE(L746," ",1)), L746="18 Months", 547, _xlfn.TEXTAFTER(L746," ",1) = "Years", _xlfn.NUMBERVALUE(_xlfn.TEXTBEFORE(L746," ",1))*365), "")</f>
        <v/>
      </c>
    </row>
    <row r="747" spans="15:15" ht="16.3" x14ac:dyDescent="0.25">
      <c r="O747" s="48" t="str" cm="1">
        <f t="array" ref="O747" xml:space="preserve"> IF(AND($L747 &lt;&gt; "", $L747 &lt;&gt; "Removed"), N747 + _xlfn.IFS(_xlfn.TEXTAFTER(L747," ",1) = "Days", _xlfn.NUMBERVALUE(_xlfn.TEXTBEFORE(L747," ",1)), L747="18 Months", 547, _xlfn.TEXTAFTER(L747," ",1) = "Years", _xlfn.NUMBERVALUE(_xlfn.TEXTBEFORE(L747," ",1))*365), "")</f>
        <v/>
      </c>
    </row>
    <row r="748" spans="15:15" ht="16.3" x14ac:dyDescent="0.25">
      <c r="O748" s="48" t="str" cm="1">
        <f t="array" ref="O748" xml:space="preserve"> IF(AND($L748 &lt;&gt; "", $L748 &lt;&gt; "Removed"), N748 + _xlfn.IFS(_xlfn.TEXTAFTER(L748," ",1) = "Days", _xlfn.NUMBERVALUE(_xlfn.TEXTBEFORE(L748," ",1)), L748="18 Months", 547, _xlfn.TEXTAFTER(L748," ",1) = "Years", _xlfn.NUMBERVALUE(_xlfn.TEXTBEFORE(L748," ",1))*365), "")</f>
        <v/>
      </c>
    </row>
    <row r="749" spans="15:15" ht="16.3" x14ac:dyDescent="0.25">
      <c r="O749" s="48" t="str" cm="1">
        <f t="array" ref="O749" xml:space="preserve"> IF(AND($L749 &lt;&gt; "", $L749 &lt;&gt; "Removed"), N749 + _xlfn.IFS(_xlfn.TEXTAFTER(L749," ",1) = "Days", _xlfn.NUMBERVALUE(_xlfn.TEXTBEFORE(L749," ",1)), L749="18 Months", 547, _xlfn.TEXTAFTER(L749," ",1) = "Years", _xlfn.NUMBERVALUE(_xlfn.TEXTBEFORE(L749," ",1))*365), "")</f>
        <v/>
      </c>
    </row>
    <row r="750" spans="15:15" ht="16.3" x14ac:dyDescent="0.25">
      <c r="O750" s="48" t="str" cm="1">
        <f t="array" ref="O750" xml:space="preserve"> IF(AND($L750 &lt;&gt; "", $L750 &lt;&gt; "Removed"), N750 + _xlfn.IFS(_xlfn.TEXTAFTER(L750," ",1) = "Days", _xlfn.NUMBERVALUE(_xlfn.TEXTBEFORE(L750," ",1)), L750="18 Months", 547, _xlfn.TEXTAFTER(L750," ",1) = "Years", _xlfn.NUMBERVALUE(_xlfn.TEXTBEFORE(L750," ",1))*365), "")</f>
        <v/>
      </c>
    </row>
    <row r="751" spans="15:15" ht="16.3" x14ac:dyDescent="0.25">
      <c r="O751" s="48" t="str" cm="1">
        <f t="array" ref="O751" xml:space="preserve"> IF(AND($L751 &lt;&gt; "", $L751 &lt;&gt; "Removed"), N751 + _xlfn.IFS(_xlfn.TEXTAFTER(L751," ",1) = "Days", _xlfn.NUMBERVALUE(_xlfn.TEXTBEFORE(L751," ",1)), L751="18 Months", 547, _xlfn.TEXTAFTER(L751," ",1) = "Years", _xlfn.NUMBERVALUE(_xlfn.TEXTBEFORE(L751," ",1))*365), "")</f>
        <v/>
      </c>
    </row>
    <row r="752" spans="15:15" ht="16.3" x14ac:dyDescent="0.25">
      <c r="O752" s="48" t="str" cm="1">
        <f t="array" ref="O752" xml:space="preserve"> IF(AND($L752 &lt;&gt; "", $L752 &lt;&gt; "Removed"), N752 + _xlfn.IFS(_xlfn.TEXTAFTER(L752," ",1) = "Days", _xlfn.NUMBERVALUE(_xlfn.TEXTBEFORE(L752," ",1)), L752="18 Months", 547, _xlfn.TEXTAFTER(L752," ",1) = "Years", _xlfn.NUMBERVALUE(_xlfn.TEXTBEFORE(L752," ",1))*365), "")</f>
        <v/>
      </c>
    </row>
    <row r="753" spans="15:15" ht="16.3" x14ac:dyDescent="0.25">
      <c r="O753" s="48" t="str" cm="1">
        <f t="array" ref="O753" xml:space="preserve"> IF(AND($L753 &lt;&gt; "", $L753 &lt;&gt; "Removed"), N753 + _xlfn.IFS(_xlfn.TEXTAFTER(L753," ",1) = "Days", _xlfn.NUMBERVALUE(_xlfn.TEXTBEFORE(L753," ",1)), L753="18 Months", 547, _xlfn.TEXTAFTER(L753," ",1) = "Years", _xlfn.NUMBERVALUE(_xlfn.TEXTBEFORE(L753," ",1))*365), "")</f>
        <v/>
      </c>
    </row>
    <row r="754" spans="15:15" ht="16.3" x14ac:dyDescent="0.25">
      <c r="O754" s="48" t="str" cm="1">
        <f t="array" ref="O754" xml:space="preserve"> IF(AND($L754 &lt;&gt; "", $L754 &lt;&gt; "Removed"), N754 + _xlfn.IFS(_xlfn.TEXTAFTER(L754," ",1) = "Days", _xlfn.NUMBERVALUE(_xlfn.TEXTBEFORE(L754," ",1)), L754="18 Months", 547, _xlfn.TEXTAFTER(L754," ",1) = "Years", _xlfn.NUMBERVALUE(_xlfn.TEXTBEFORE(L754," ",1))*365), "")</f>
        <v/>
      </c>
    </row>
    <row r="755" spans="15:15" ht="16.3" x14ac:dyDescent="0.25">
      <c r="O755" s="48" t="str" cm="1">
        <f t="array" ref="O755" xml:space="preserve"> IF(AND($L755 &lt;&gt; "", $L755 &lt;&gt; "Removed"), N755 + _xlfn.IFS(_xlfn.TEXTAFTER(L755," ",1) = "Days", _xlfn.NUMBERVALUE(_xlfn.TEXTBEFORE(L755," ",1)), L755="18 Months", 547, _xlfn.TEXTAFTER(L755," ",1) = "Years", _xlfn.NUMBERVALUE(_xlfn.TEXTBEFORE(L755," ",1))*365), "")</f>
        <v/>
      </c>
    </row>
    <row r="756" spans="15:15" ht="16.3" x14ac:dyDescent="0.25">
      <c r="O756" s="48" t="str" cm="1">
        <f t="array" ref="O756" xml:space="preserve"> IF(AND($L756 &lt;&gt; "", $L756 &lt;&gt; "Removed"), N756 + _xlfn.IFS(_xlfn.TEXTAFTER(L756," ",1) = "Days", _xlfn.NUMBERVALUE(_xlfn.TEXTBEFORE(L756," ",1)), L756="18 Months", 547, _xlfn.TEXTAFTER(L756," ",1) = "Years", _xlfn.NUMBERVALUE(_xlfn.TEXTBEFORE(L756," ",1))*365), "")</f>
        <v/>
      </c>
    </row>
    <row r="757" spans="15:15" ht="16.3" x14ac:dyDescent="0.25">
      <c r="O757" s="48" t="str" cm="1">
        <f t="array" ref="O757" xml:space="preserve"> IF(AND($L757 &lt;&gt; "", $L757 &lt;&gt; "Removed"), N757 + _xlfn.IFS(_xlfn.TEXTAFTER(L757," ",1) = "Days", _xlfn.NUMBERVALUE(_xlfn.TEXTBEFORE(L757," ",1)), L757="18 Months", 547, _xlfn.TEXTAFTER(L757," ",1) = "Years", _xlfn.NUMBERVALUE(_xlfn.TEXTBEFORE(L757," ",1))*365), "")</f>
        <v/>
      </c>
    </row>
    <row r="758" spans="15:15" ht="16.3" x14ac:dyDescent="0.25">
      <c r="O758" s="48" t="str" cm="1">
        <f t="array" ref="O758" xml:space="preserve"> IF(AND($L758 &lt;&gt; "", $L758 &lt;&gt; "Removed"), N758 + _xlfn.IFS(_xlfn.TEXTAFTER(L758," ",1) = "Days", _xlfn.NUMBERVALUE(_xlfn.TEXTBEFORE(L758," ",1)), L758="18 Months", 547, _xlfn.TEXTAFTER(L758," ",1) = "Years", _xlfn.NUMBERVALUE(_xlfn.TEXTBEFORE(L758," ",1))*365), "")</f>
        <v/>
      </c>
    </row>
    <row r="759" spans="15:15" ht="16.3" x14ac:dyDescent="0.25">
      <c r="O759" s="48" t="str" cm="1">
        <f t="array" ref="O759" xml:space="preserve"> IF(AND($L759 &lt;&gt; "", $L759 &lt;&gt; "Removed"), N759 + _xlfn.IFS(_xlfn.TEXTAFTER(L759," ",1) = "Days", _xlfn.NUMBERVALUE(_xlfn.TEXTBEFORE(L759," ",1)), L759="18 Months", 547, _xlfn.TEXTAFTER(L759," ",1) = "Years", _xlfn.NUMBERVALUE(_xlfn.TEXTBEFORE(L759," ",1))*365), "")</f>
        <v/>
      </c>
    </row>
    <row r="760" spans="15:15" ht="16.3" x14ac:dyDescent="0.25">
      <c r="O760" s="48" t="str" cm="1">
        <f t="array" ref="O760" xml:space="preserve"> IF(AND($L760 &lt;&gt; "", $L760 &lt;&gt; "Removed"), N760 + _xlfn.IFS(_xlfn.TEXTAFTER(L760," ",1) = "Days", _xlfn.NUMBERVALUE(_xlfn.TEXTBEFORE(L760," ",1)), L760="18 Months", 547, _xlfn.TEXTAFTER(L760," ",1) = "Years", _xlfn.NUMBERVALUE(_xlfn.TEXTBEFORE(L760," ",1))*365), "")</f>
        <v/>
      </c>
    </row>
    <row r="761" spans="15:15" ht="16.3" x14ac:dyDescent="0.25">
      <c r="O761" s="48" t="str" cm="1">
        <f t="array" ref="O761" xml:space="preserve"> IF(AND($L761 &lt;&gt; "", $L761 &lt;&gt; "Removed"), N761 + _xlfn.IFS(_xlfn.TEXTAFTER(L761," ",1) = "Days", _xlfn.NUMBERVALUE(_xlfn.TEXTBEFORE(L761," ",1)), L761="18 Months", 547, _xlfn.TEXTAFTER(L761," ",1) = "Years", _xlfn.NUMBERVALUE(_xlfn.TEXTBEFORE(L761," ",1))*365), "")</f>
        <v/>
      </c>
    </row>
    <row r="762" spans="15:15" ht="16.3" x14ac:dyDescent="0.25">
      <c r="O762" s="48" t="str" cm="1">
        <f t="array" ref="O762" xml:space="preserve"> IF(AND($L762 &lt;&gt; "", $L762 &lt;&gt; "Removed"), N762 + _xlfn.IFS(_xlfn.TEXTAFTER(L762," ",1) = "Days", _xlfn.NUMBERVALUE(_xlfn.TEXTBEFORE(L762," ",1)), L762="18 Months", 547, _xlfn.TEXTAFTER(L762," ",1) = "Years", _xlfn.NUMBERVALUE(_xlfn.TEXTBEFORE(L762," ",1))*365), "")</f>
        <v/>
      </c>
    </row>
    <row r="763" spans="15:15" ht="16.3" x14ac:dyDescent="0.25">
      <c r="O763" s="48" t="str" cm="1">
        <f t="array" ref="O763" xml:space="preserve"> IF(AND($L763 &lt;&gt; "", $L763 &lt;&gt; "Removed"), N763 + _xlfn.IFS(_xlfn.TEXTAFTER(L763," ",1) = "Days", _xlfn.NUMBERVALUE(_xlfn.TEXTBEFORE(L763," ",1)), L763="18 Months", 547, _xlfn.TEXTAFTER(L763," ",1) = "Years", _xlfn.NUMBERVALUE(_xlfn.TEXTBEFORE(L763," ",1))*365), "")</f>
        <v/>
      </c>
    </row>
    <row r="764" spans="15:15" ht="16.3" x14ac:dyDescent="0.25">
      <c r="O764" s="48" t="str" cm="1">
        <f t="array" ref="O764" xml:space="preserve"> IF(AND($L764 &lt;&gt; "", $L764 &lt;&gt; "Removed"), N764 + _xlfn.IFS(_xlfn.TEXTAFTER(L764," ",1) = "Days", _xlfn.NUMBERVALUE(_xlfn.TEXTBEFORE(L764," ",1)), L764="18 Months", 547, _xlfn.TEXTAFTER(L764," ",1) = "Years", _xlfn.NUMBERVALUE(_xlfn.TEXTBEFORE(L764," ",1))*365), "")</f>
        <v/>
      </c>
    </row>
    <row r="765" spans="15:15" ht="16.3" x14ac:dyDescent="0.25">
      <c r="O765" s="48" t="str" cm="1">
        <f t="array" ref="O765" xml:space="preserve"> IF(AND($L765 &lt;&gt; "", $L765 &lt;&gt; "Removed"), N765 + _xlfn.IFS(_xlfn.TEXTAFTER(L765," ",1) = "Days", _xlfn.NUMBERVALUE(_xlfn.TEXTBEFORE(L765," ",1)), L765="18 Months", 547, _xlfn.TEXTAFTER(L765," ",1) = "Years", _xlfn.NUMBERVALUE(_xlfn.TEXTBEFORE(L765," ",1))*365), "")</f>
        <v/>
      </c>
    </row>
    <row r="766" spans="15:15" ht="16.3" x14ac:dyDescent="0.25">
      <c r="O766" s="48" t="str" cm="1">
        <f t="array" ref="O766" xml:space="preserve"> IF(AND($L766 &lt;&gt; "", $L766 &lt;&gt; "Removed"), N766 + _xlfn.IFS(_xlfn.TEXTAFTER(L766," ",1) = "Days", _xlfn.NUMBERVALUE(_xlfn.TEXTBEFORE(L766," ",1)), L766="18 Months", 547, _xlfn.TEXTAFTER(L766," ",1) = "Years", _xlfn.NUMBERVALUE(_xlfn.TEXTBEFORE(L766," ",1))*365), "")</f>
        <v/>
      </c>
    </row>
    <row r="767" spans="15:15" ht="16.3" x14ac:dyDescent="0.25">
      <c r="O767" s="48" t="str" cm="1">
        <f t="array" ref="O767" xml:space="preserve"> IF(AND($L767 &lt;&gt; "", $L767 &lt;&gt; "Removed"), N767 + _xlfn.IFS(_xlfn.TEXTAFTER(L767," ",1) = "Days", _xlfn.NUMBERVALUE(_xlfn.TEXTBEFORE(L767," ",1)), L767="18 Months", 547, _xlfn.TEXTAFTER(L767," ",1) = "Years", _xlfn.NUMBERVALUE(_xlfn.TEXTBEFORE(L767," ",1))*365), "")</f>
        <v/>
      </c>
    </row>
    <row r="768" spans="15:15" ht="16.3" x14ac:dyDescent="0.25">
      <c r="O768" s="48" t="str" cm="1">
        <f t="array" ref="O768" xml:space="preserve"> IF(AND($L768 &lt;&gt; "", $L768 &lt;&gt; "Removed"), N768 + _xlfn.IFS(_xlfn.TEXTAFTER(L768," ",1) = "Days", _xlfn.NUMBERVALUE(_xlfn.TEXTBEFORE(L768," ",1)), L768="18 Months", 547, _xlfn.TEXTAFTER(L768," ",1) = "Years", _xlfn.NUMBERVALUE(_xlfn.TEXTBEFORE(L768," ",1))*365), "")</f>
        <v/>
      </c>
    </row>
    <row r="769" spans="15:15" ht="16.3" x14ac:dyDescent="0.25">
      <c r="O769" s="48" t="str" cm="1">
        <f t="array" ref="O769" xml:space="preserve"> IF(AND($L769 &lt;&gt; "", $L769 &lt;&gt; "Removed"), N769 + _xlfn.IFS(_xlfn.TEXTAFTER(L769," ",1) = "Days", _xlfn.NUMBERVALUE(_xlfn.TEXTBEFORE(L769," ",1)), L769="18 Months", 547, _xlfn.TEXTAFTER(L769," ",1) = "Years", _xlfn.NUMBERVALUE(_xlfn.TEXTBEFORE(L769," ",1))*365), "")</f>
        <v/>
      </c>
    </row>
    <row r="770" spans="15:15" ht="16.3" x14ac:dyDescent="0.25">
      <c r="O770" s="48" t="str" cm="1">
        <f t="array" ref="O770" xml:space="preserve"> IF(AND($L770 &lt;&gt; "", $L770 &lt;&gt; "Removed"), N770 + _xlfn.IFS(_xlfn.TEXTAFTER(L770," ",1) = "Days", _xlfn.NUMBERVALUE(_xlfn.TEXTBEFORE(L770," ",1)), L770="18 Months", 547, _xlfn.TEXTAFTER(L770," ",1) = "Years", _xlfn.NUMBERVALUE(_xlfn.TEXTBEFORE(L770," ",1))*365), "")</f>
        <v/>
      </c>
    </row>
    <row r="771" spans="15:15" ht="16.3" x14ac:dyDescent="0.25">
      <c r="O771" s="48" t="str" cm="1">
        <f t="array" ref="O771" xml:space="preserve"> IF(AND($L771 &lt;&gt; "", $L771 &lt;&gt; "Removed"), N771 + _xlfn.IFS(_xlfn.TEXTAFTER(L771," ",1) = "Days", _xlfn.NUMBERVALUE(_xlfn.TEXTBEFORE(L771," ",1)), L771="18 Months", 547, _xlfn.TEXTAFTER(L771," ",1) = "Years", _xlfn.NUMBERVALUE(_xlfn.TEXTBEFORE(L771," ",1))*365), "")</f>
        <v/>
      </c>
    </row>
    <row r="772" spans="15:15" ht="16.3" x14ac:dyDescent="0.25">
      <c r="O772" s="48" t="str" cm="1">
        <f t="array" ref="O772" xml:space="preserve"> IF(AND($L772 &lt;&gt; "", $L772 &lt;&gt; "Removed"), N772 + _xlfn.IFS(_xlfn.TEXTAFTER(L772," ",1) = "Days", _xlfn.NUMBERVALUE(_xlfn.TEXTBEFORE(L772," ",1)), L772="18 Months", 547, _xlfn.TEXTAFTER(L772," ",1) = "Years", _xlfn.NUMBERVALUE(_xlfn.TEXTBEFORE(L772," ",1))*365), "")</f>
        <v/>
      </c>
    </row>
    <row r="773" spans="15:15" ht="16.3" x14ac:dyDescent="0.25">
      <c r="O773" s="48" t="str" cm="1">
        <f t="array" ref="O773" xml:space="preserve"> IF(AND($L773 &lt;&gt; "", $L773 &lt;&gt; "Removed"), N773 + _xlfn.IFS(_xlfn.TEXTAFTER(L773," ",1) = "Days", _xlfn.NUMBERVALUE(_xlfn.TEXTBEFORE(L773," ",1)), L773="18 Months", 547, _xlfn.TEXTAFTER(L773," ",1) = "Years", _xlfn.NUMBERVALUE(_xlfn.TEXTBEFORE(L773," ",1))*365), "")</f>
        <v/>
      </c>
    </row>
    <row r="774" spans="15:15" ht="16.3" x14ac:dyDescent="0.25">
      <c r="O774" s="48" t="str" cm="1">
        <f t="array" ref="O774" xml:space="preserve"> IF(AND($L774 &lt;&gt; "", $L774 &lt;&gt; "Removed"), N774 + _xlfn.IFS(_xlfn.TEXTAFTER(L774," ",1) = "Days", _xlfn.NUMBERVALUE(_xlfn.TEXTBEFORE(L774," ",1)), L774="18 Months", 547, _xlfn.TEXTAFTER(L774," ",1) = "Years", _xlfn.NUMBERVALUE(_xlfn.TEXTBEFORE(L774," ",1))*365), "")</f>
        <v/>
      </c>
    </row>
    <row r="775" spans="15:15" ht="16.3" x14ac:dyDescent="0.25">
      <c r="O775" s="48" t="str" cm="1">
        <f t="array" ref="O775" xml:space="preserve"> IF(AND($L775 &lt;&gt; "", $L775 &lt;&gt; "Removed"), N775 + _xlfn.IFS(_xlfn.TEXTAFTER(L775," ",1) = "Days", _xlfn.NUMBERVALUE(_xlfn.TEXTBEFORE(L775," ",1)), L775="18 Months", 547, _xlfn.TEXTAFTER(L775," ",1) = "Years", _xlfn.NUMBERVALUE(_xlfn.TEXTBEFORE(L775," ",1))*365), "")</f>
        <v/>
      </c>
    </row>
    <row r="776" spans="15:15" ht="16.3" x14ac:dyDescent="0.25">
      <c r="O776" s="48" t="str" cm="1">
        <f t="array" ref="O776" xml:space="preserve"> IF(AND($L776 &lt;&gt; "", $L776 &lt;&gt; "Removed"), N776 + _xlfn.IFS(_xlfn.TEXTAFTER(L776," ",1) = "Days", _xlfn.NUMBERVALUE(_xlfn.TEXTBEFORE(L776," ",1)), L776="18 Months", 547, _xlfn.TEXTAFTER(L776," ",1) = "Years", _xlfn.NUMBERVALUE(_xlfn.TEXTBEFORE(L776," ",1))*365), "")</f>
        <v/>
      </c>
    </row>
    <row r="777" spans="15:15" ht="16.3" x14ac:dyDescent="0.25">
      <c r="O777" s="48" t="str" cm="1">
        <f t="array" ref="O777" xml:space="preserve"> IF(AND($L777 &lt;&gt; "", $L777 &lt;&gt; "Removed"), N777 + _xlfn.IFS(_xlfn.TEXTAFTER(L777," ",1) = "Days", _xlfn.NUMBERVALUE(_xlfn.TEXTBEFORE(L777," ",1)), L777="18 Months", 547, _xlfn.TEXTAFTER(L777," ",1) = "Years", _xlfn.NUMBERVALUE(_xlfn.TEXTBEFORE(L777," ",1))*365), "")</f>
        <v/>
      </c>
    </row>
    <row r="778" spans="15:15" ht="16.3" x14ac:dyDescent="0.25">
      <c r="O778" s="48" t="str" cm="1">
        <f t="array" ref="O778" xml:space="preserve"> IF(AND($L778 &lt;&gt; "", $L778 &lt;&gt; "Removed"), N778 + _xlfn.IFS(_xlfn.TEXTAFTER(L778," ",1) = "Days", _xlfn.NUMBERVALUE(_xlfn.TEXTBEFORE(L778," ",1)), L778="18 Months", 547, _xlfn.TEXTAFTER(L778," ",1) = "Years", _xlfn.NUMBERVALUE(_xlfn.TEXTBEFORE(L778," ",1))*365), "")</f>
        <v/>
      </c>
    </row>
    <row r="779" spans="15:15" ht="16.3" x14ac:dyDescent="0.25">
      <c r="O779" s="48" t="str" cm="1">
        <f t="array" ref="O779" xml:space="preserve"> IF(AND($L779 &lt;&gt; "", $L779 &lt;&gt; "Removed"), N779 + _xlfn.IFS(_xlfn.TEXTAFTER(L779," ",1) = "Days", _xlfn.NUMBERVALUE(_xlfn.TEXTBEFORE(L779," ",1)), L779="18 Months", 547, _xlfn.TEXTAFTER(L779," ",1) = "Years", _xlfn.NUMBERVALUE(_xlfn.TEXTBEFORE(L779," ",1))*365), "")</f>
        <v/>
      </c>
    </row>
    <row r="780" spans="15:15" ht="16.3" x14ac:dyDescent="0.25">
      <c r="O780" s="48" t="str" cm="1">
        <f t="array" ref="O780" xml:space="preserve"> IF(AND($L780 &lt;&gt; "", $L780 &lt;&gt; "Removed"), N780 + _xlfn.IFS(_xlfn.TEXTAFTER(L780," ",1) = "Days", _xlfn.NUMBERVALUE(_xlfn.TEXTBEFORE(L780," ",1)), L780="18 Months", 547, _xlfn.TEXTAFTER(L780," ",1) = "Years", _xlfn.NUMBERVALUE(_xlfn.TEXTBEFORE(L780," ",1))*365), "")</f>
        <v/>
      </c>
    </row>
    <row r="781" spans="15:15" ht="16.3" x14ac:dyDescent="0.25">
      <c r="O781" s="48" t="str" cm="1">
        <f t="array" ref="O781" xml:space="preserve"> IF(AND($L781 &lt;&gt; "", $L781 &lt;&gt; "Removed"), N781 + _xlfn.IFS(_xlfn.TEXTAFTER(L781," ",1) = "Days", _xlfn.NUMBERVALUE(_xlfn.TEXTBEFORE(L781," ",1)), L781="18 Months", 547, _xlfn.TEXTAFTER(L781," ",1) = "Years", _xlfn.NUMBERVALUE(_xlfn.TEXTBEFORE(L781," ",1))*365), "")</f>
        <v/>
      </c>
    </row>
    <row r="782" spans="15:15" ht="16.3" x14ac:dyDescent="0.25">
      <c r="O782" s="48" t="str" cm="1">
        <f t="array" ref="O782" xml:space="preserve"> IF(AND($L782 &lt;&gt; "", $L782 &lt;&gt; "Removed"), N782 + _xlfn.IFS(_xlfn.TEXTAFTER(L782," ",1) = "Days", _xlfn.NUMBERVALUE(_xlfn.TEXTBEFORE(L782," ",1)), L782="18 Months", 547, _xlfn.TEXTAFTER(L782," ",1) = "Years", _xlfn.NUMBERVALUE(_xlfn.TEXTBEFORE(L782," ",1))*365), "")</f>
        <v/>
      </c>
    </row>
    <row r="783" spans="15:15" ht="16.3" x14ac:dyDescent="0.25">
      <c r="O783" s="48" t="str" cm="1">
        <f t="array" ref="O783" xml:space="preserve"> IF(AND($L783 &lt;&gt; "", $L783 &lt;&gt; "Removed"), N783 + _xlfn.IFS(_xlfn.TEXTAFTER(L783," ",1) = "Days", _xlfn.NUMBERVALUE(_xlfn.TEXTBEFORE(L783," ",1)), L783="18 Months", 547, _xlfn.TEXTAFTER(L783," ",1) = "Years", _xlfn.NUMBERVALUE(_xlfn.TEXTBEFORE(L783," ",1))*365), "")</f>
        <v/>
      </c>
    </row>
    <row r="784" spans="15:15" ht="16.3" x14ac:dyDescent="0.25">
      <c r="O784" s="48" t="str" cm="1">
        <f t="array" ref="O784" xml:space="preserve"> IF(AND($L784 &lt;&gt; "", $L784 &lt;&gt; "Removed"), N784 + _xlfn.IFS(_xlfn.TEXTAFTER(L784," ",1) = "Days", _xlfn.NUMBERVALUE(_xlfn.TEXTBEFORE(L784," ",1)), L784="18 Months", 547, _xlfn.TEXTAFTER(L784," ",1) = "Years", _xlfn.NUMBERVALUE(_xlfn.TEXTBEFORE(L784," ",1))*365), "")</f>
        <v/>
      </c>
    </row>
    <row r="785" spans="15:15" ht="16.3" x14ac:dyDescent="0.25">
      <c r="O785" s="48" t="str" cm="1">
        <f t="array" ref="O785" xml:space="preserve"> IF(AND($L785 &lt;&gt; "", $L785 &lt;&gt; "Removed"), N785 + _xlfn.IFS(_xlfn.TEXTAFTER(L785," ",1) = "Days", _xlfn.NUMBERVALUE(_xlfn.TEXTBEFORE(L785," ",1)), L785="18 Months", 547, _xlfn.TEXTAFTER(L785," ",1) = "Years", _xlfn.NUMBERVALUE(_xlfn.TEXTBEFORE(L785," ",1))*365), "")</f>
        <v/>
      </c>
    </row>
    <row r="786" spans="15:15" ht="16.3" x14ac:dyDescent="0.25">
      <c r="O786" s="48" t="str" cm="1">
        <f t="array" ref="O786" xml:space="preserve"> IF(AND($L786 &lt;&gt; "", $L786 &lt;&gt; "Removed"), N786 + _xlfn.IFS(_xlfn.TEXTAFTER(L786," ",1) = "Days", _xlfn.NUMBERVALUE(_xlfn.TEXTBEFORE(L786," ",1)), L786="18 Months", 547, _xlfn.TEXTAFTER(L786," ",1) = "Years", _xlfn.NUMBERVALUE(_xlfn.TEXTBEFORE(L786," ",1))*365), "")</f>
        <v/>
      </c>
    </row>
    <row r="787" spans="15:15" ht="16.3" x14ac:dyDescent="0.25">
      <c r="O787" s="48" t="str" cm="1">
        <f t="array" ref="O787" xml:space="preserve"> IF(AND($L787 &lt;&gt; "", $L787 &lt;&gt; "Removed"), N787 + _xlfn.IFS(_xlfn.TEXTAFTER(L787," ",1) = "Days", _xlfn.NUMBERVALUE(_xlfn.TEXTBEFORE(L787," ",1)), L787="18 Months", 547, _xlfn.TEXTAFTER(L787," ",1) = "Years", _xlfn.NUMBERVALUE(_xlfn.TEXTBEFORE(L787," ",1))*365), "")</f>
        <v/>
      </c>
    </row>
    <row r="788" spans="15:15" ht="16.3" x14ac:dyDescent="0.25">
      <c r="O788" s="48" t="str" cm="1">
        <f t="array" ref="O788" xml:space="preserve"> IF(AND($L788 &lt;&gt; "", $L788 &lt;&gt; "Removed"), N788 + _xlfn.IFS(_xlfn.TEXTAFTER(L788," ",1) = "Days", _xlfn.NUMBERVALUE(_xlfn.TEXTBEFORE(L788," ",1)), L788="18 Months", 547, _xlfn.TEXTAFTER(L788," ",1) = "Years", _xlfn.NUMBERVALUE(_xlfn.TEXTBEFORE(L788," ",1))*365), "")</f>
        <v/>
      </c>
    </row>
    <row r="789" spans="15:15" ht="16.3" x14ac:dyDescent="0.25">
      <c r="O789" s="48" t="str" cm="1">
        <f t="array" ref="O789" xml:space="preserve"> IF(AND($L789 &lt;&gt; "", $L789 &lt;&gt; "Removed"), N789 + _xlfn.IFS(_xlfn.TEXTAFTER(L789," ",1) = "Days", _xlfn.NUMBERVALUE(_xlfn.TEXTBEFORE(L789," ",1)), L789="18 Months", 547, _xlfn.TEXTAFTER(L789," ",1) = "Years", _xlfn.NUMBERVALUE(_xlfn.TEXTBEFORE(L789," ",1))*365), "")</f>
        <v/>
      </c>
    </row>
    <row r="790" spans="15:15" ht="16.3" x14ac:dyDescent="0.25">
      <c r="O790" s="48" t="str" cm="1">
        <f t="array" ref="O790" xml:space="preserve"> IF(AND($L790 &lt;&gt; "", $L790 &lt;&gt; "Removed"), N790 + _xlfn.IFS(_xlfn.TEXTAFTER(L790," ",1) = "Days", _xlfn.NUMBERVALUE(_xlfn.TEXTBEFORE(L790," ",1)), L790="18 Months", 547, _xlfn.TEXTAFTER(L790," ",1) = "Years", _xlfn.NUMBERVALUE(_xlfn.TEXTBEFORE(L790," ",1))*365), "")</f>
        <v/>
      </c>
    </row>
    <row r="791" spans="15:15" ht="16.3" x14ac:dyDescent="0.25">
      <c r="O791" s="48" t="str" cm="1">
        <f t="array" ref="O791" xml:space="preserve"> IF(AND($L791 &lt;&gt; "", $L791 &lt;&gt; "Removed"), N791 + _xlfn.IFS(_xlfn.TEXTAFTER(L791," ",1) = "Days", _xlfn.NUMBERVALUE(_xlfn.TEXTBEFORE(L791," ",1)), L791="18 Months", 547, _xlfn.TEXTAFTER(L791," ",1) = "Years", _xlfn.NUMBERVALUE(_xlfn.TEXTBEFORE(L791," ",1))*365), "")</f>
        <v/>
      </c>
    </row>
    <row r="792" spans="15:15" ht="16.3" x14ac:dyDescent="0.25">
      <c r="O792" s="48" t="str" cm="1">
        <f t="array" ref="O792" xml:space="preserve"> IF(AND($L792 &lt;&gt; "", $L792 &lt;&gt; "Removed"), N792 + _xlfn.IFS(_xlfn.TEXTAFTER(L792," ",1) = "Days", _xlfn.NUMBERVALUE(_xlfn.TEXTBEFORE(L792," ",1)), L792="18 Months", 547, _xlfn.TEXTAFTER(L792," ",1) = "Years", _xlfn.NUMBERVALUE(_xlfn.TEXTBEFORE(L792," ",1))*365), "")</f>
        <v/>
      </c>
    </row>
    <row r="793" spans="15:15" ht="16.3" x14ac:dyDescent="0.25">
      <c r="O793" s="48" t="str" cm="1">
        <f t="array" ref="O793" xml:space="preserve"> IF(AND($L793 &lt;&gt; "", $L793 &lt;&gt; "Removed"), N793 + _xlfn.IFS(_xlfn.TEXTAFTER(L793," ",1) = "Days", _xlfn.NUMBERVALUE(_xlfn.TEXTBEFORE(L793," ",1)), L793="18 Months", 547, _xlfn.TEXTAFTER(L793," ",1) = "Years", _xlfn.NUMBERVALUE(_xlfn.TEXTBEFORE(L793," ",1))*365), "")</f>
        <v/>
      </c>
    </row>
    <row r="794" spans="15:15" ht="16.3" x14ac:dyDescent="0.25">
      <c r="O794" s="48" t="str" cm="1">
        <f t="array" ref="O794" xml:space="preserve"> IF(AND($L794 &lt;&gt; "", $L794 &lt;&gt; "Removed"), N794 + _xlfn.IFS(_xlfn.TEXTAFTER(L794," ",1) = "Days", _xlfn.NUMBERVALUE(_xlfn.TEXTBEFORE(L794," ",1)), L794="18 Months", 547, _xlfn.TEXTAFTER(L794," ",1) = "Years", _xlfn.NUMBERVALUE(_xlfn.TEXTBEFORE(L794," ",1))*365), "")</f>
        <v/>
      </c>
    </row>
    <row r="795" spans="15:15" ht="16.3" x14ac:dyDescent="0.25">
      <c r="O795" s="48" t="str" cm="1">
        <f t="array" ref="O795" xml:space="preserve"> IF(AND($L795 &lt;&gt; "", $L795 &lt;&gt; "Removed"), N795 + _xlfn.IFS(_xlfn.TEXTAFTER(L795," ",1) = "Days", _xlfn.NUMBERVALUE(_xlfn.TEXTBEFORE(L795," ",1)), L795="18 Months", 547, _xlfn.TEXTAFTER(L795," ",1) = "Years", _xlfn.NUMBERVALUE(_xlfn.TEXTBEFORE(L795," ",1))*365), "")</f>
        <v/>
      </c>
    </row>
    <row r="796" spans="15:15" ht="16.3" x14ac:dyDescent="0.25">
      <c r="O796" s="48" t="str" cm="1">
        <f t="array" ref="O796" xml:space="preserve"> IF(AND($L796 &lt;&gt; "", $L796 &lt;&gt; "Removed"), N796 + _xlfn.IFS(_xlfn.TEXTAFTER(L796," ",1) = "Days", _xlfn.NUMBERVALUE(_xlfn.TEXTBEFORE(L796," ",1)), L796="18 Months", 547, _xlfn.TEXTAFTER(L796," ",1) = "Years", _xlfn.NUMBERVALUE(_xlfn.TEXTBEFORE(L796," ",1))*365), "")</f>
        <v/>
      </c>
    </row>
    <row r="797" spans="15:15" ht="16.3" x14ac:dyDescent="0.25">
      <c r="O797" s="48" t="str" cm="1">
        <f t="array" ref="O797" xml:space="preserve"> IF(AND($L797 &lt;&gt; "", $L797 &lt;&gt; "Removed"), N797 + _xlfn.IFS(_xlfn.TEXTAFTER(L797," ",1) = "Days", _xlfn.NUMBERVALUE(_xlfn.TEXTBEFORE(L797," ",1)), L797="18 Months", 547, _xlfn.TEXTAFTER(L797," ",1) = "Years", _xlfn.NUMBERVALUE(_xlfn.TEXTBEFORE(L797," ",1))*365), "")</f>
        <v/>
      </c>
    </row>
    <row r="798" spans="15:15" ht="16.3" x14ac:dyDescent="0.25">
      <c r="O798" s="48" t="str" cm="1">
        <f t="array" ref="O798" xml:space="preserve"> IF(AND($L798 &lt;&gt; "", $L798 &lt;&gt; "Removed"), N798 + _xlfn.IFS(_xlfn.TEXTAFTER(L798," ",1) = "Days", _xlfn.NUMBERVALUE(_xlfn.TEXTBEFORE(L798," ",1)), L798="18 Months", 547, _xlfn.TEXTAFTER(L798," ",1) = "Years", _xlfn.NUMBERVALUE(_xlfn.TEXTBEFORE(L798," ",1))*365), "")</f>
        <v/>
      </c>
    </row>
    <row r="799" spans="15:15" ht="16.3" x14ac:dyDescent="0.25">
      <c r="O799" s="48" t="str" cm="1">
        <f t="array" ref="O799" xml:space="preserve"> IF(AND($L799 &lt;&gt; "", $L799 &lt;&gt; "Removed"), N799 + _xlfn.IFS(_xlfn.TEXTAFTER(L799," ",1) = "Days", _xlfn.NUMBERVALUE(_xlfn.TEXTBEFORE(L799," ",1)), L799="18 Months", 547, _xlfn.TEXTAFTER(L799," ",1) = "Years", _xlfn.NUMBERVALUE(_xlfn.TEXTBEFORE(L799," ",1))*365), "")</f>
        <v/>
      </c>
    </row>
    <row r="800" spans="15:15" ht="16.3" x14ac:dyDescent="0.25">
      <c r="O800" s="48" t="str" cm="1">
        <f t="array" ref="O800" xml:space="preserve"> IF(AND($L800 &lt;&gt; "", $L800 &lt;&gt; "Removed"), N800 + _xlfn.IFS(_xlfn.TEXTAFTER(L800," ",1) = "Days", _xlfn.NUMBERVALUE(_xlfn.TEXTBEFORE(L800," ",1)), L800="18 Months", 547, _xlfn.TEXTAFTER(L800," ",1) = "Years", _xlfn.NUMBERVALUE(_xlfn.TEXTBEFORE(L800," ",1))*365), "")</f>
        <v/>
      </c>
    </row>
    <row r="801" spans="15:15" ht="16.3" x14ac:dyDescent="0.25">
      <c r="O801" s="48" t="str" cm="1">
        <f t="array" ref="O801" xml:space="preserve"> IF(AND($L801 &lt;&gt; "", $L801 &lt;&gt; "Removed"), N801 + _xlfn.IFS(_xlfn.TEXTAFTER(L801," ",1) = "Days", _xlfn.NUMBERVALUE(_xlfn.TEXTBEFORE(L801," ",1)), L801="18 Months", 547, _xlfn.TEXTAFTER(L801," ",1) = "Years", _xlfn.NUMBERVALUE(_xlfn.TEXTBEFORE(L801," ",1))*365), "")</f>
        <v/>
      </c>
    </row>
    <row r="802" spans="15:15" ht="16.3" x14ac:dyDescent="0.25">
      <c r="O802" s="48" t="str" cm="1">
        <f t="array" ref="O802" xml:space="preserve"> IF(AND($L802 &lt;&gt; "", $L802 &lt;&gt; "Removed"), N802 + _xlfn.IFS(_xlfn.TEXTAFTER(L802," ",1) = "Days", _xlfn.NUMBERVALUE(_xlfn.TEXTBEFORE(L802," ",1)), L802="18 Months", 547, _xlfn.TEXTAFTER(L802," ",1) = "Years", _xlfn.NUMBERVALUE(_xlfn.TEXTBEFORE(L802," ",1))*365), "")</f>
        <v/>
      </c>
    </row>
    <row r="803" spans="15:15" ht="16.3" x14ac:dyDescent="0.25">
      <c r="O803" s="48" t="str" cm="1">
        <f t="array" ref="O803" xml:space="preserve"> IF(AND($L803 &lt;&gt; "", $L803 &lt;&gt; "Removed"), N803 + _xlfn.IFS(_xlfn.TEXTAFTER(L803," ",1) = "Days", _xlfn.NUMBERVALUE(_xlfn.TEXTBEFORE(L803," ",1)), L803="18 Months", 547, _xlfn.TEXTAFTER(L803," ",1) = "Years", _xlfn.NUMBERVALUE(_xlfn.TEXTBEFORE(L803," ",1))*365), "")</f>
        <v/>
      </c>
    </row>
    <row r="804" spans="15:15" ht="16.3" x14ac:dyDescent="0.25">
      <c r="O804" s="48" t="str" cm="1">
        <f t="array" ref="O804" xml:space="preserve"> IF(AND($L804 &lt;&gt; "", $L804 &lt;&gt; "Removed"), N804 + _xlfn.IFS(_xlfn.TEXTAFTER(L804," ",1) = "Days", _xlfn.NUMBERVALUE(_xlfn.TEXTBEFORE(L804," ",1)), L804="18 Months", 547, _xlfn.TEXTAFTER(L804," ",1) = "Years", _xlfn.NUMBERVALUE(_xlfn.TEXTBEFORE(L804," ",1))*365), "")</f>
        <v/>
      </c>
    </row>
    <row r="805" spans="15:15" ht="16.3" x14ac:dyDescent="0.25">
      <c r="O805" s="48" t="str" cm="1">
        <f t="array" ref="O805" xml:space="preserve"> IF(AND($L805 &lt;&gt; "", $L805 &lt;&gt; "Removed"), N805 + _xlfn.IFS(_xlfn.TEXTAFTER(L805," ",1) = "Days", _xlfn.NUMBERVALUE(_xlfn.TEXTBEFORE(L805," ",1)), L805="18 Months", 547, _xlfn.TEXTAFTER(L805," ",1) = "Years", _xlfn.NUMBERVALUE(_xlfn.TEXTBEFORE(L805," ",1))*365), "")</f>
        <v/>
      </c>
    </row>
    <row r="806" spans="15:15" ht="16.3" x14ac:dyDescent="0.25">
      <c r="O806" s="48" t="str" cm="1">
        <f t="array" ref="O806" xml:space="preserve"> IF(AND($L806 &lt;&gt; "", $L806 &lt;&gt; "Removed"), N806 + _xlfn.IFS(_xlfn.TEXTAFTER(L806," ",1) = "Days", _xlfn.NUMBERVALUE(_xlfn.TEXTBEFORE(L806," ",1)), L806="18 Months", 547, _xlfn.TEXTAFTER(L806," ",1) = "Years", _xlfn.NUMBERVALUE(_xlfn.TEXTBEFORE(L806," ",1))*365), "")</f>
        <v/>
      </c>
    </row>
    <row r="807" spans="15:15" ht="16.3" x14ac:dyDescent="0.25">
      <c r="O807" s="48" t="str" cm="1">
        <f t="array" ref="O807" xml:space="preserve"> IF(AND($L807 &lt;&gt; "", $L807 &lt;&gt; "Removed"), N807 + _xlfn.IFS(_xlfn.TEXTAFTER(L807," ",1) = "Days", _xlfn.NUMBERVALUE(_xlfn.TEXTBEFORE(L807," ",1)), L807="18 Months", 547, _xlfn.TEXTAFTER(L807," ",1) = "Years", _xlfn.NUMBERVALUE(_xlfn.TEXTBEFORE(L807," ",1))*365), "")</f>
        <v/>
      </c>
    </row>
    <row r="808" spans="15:15" ht="16.3" x14ac:dyDescent="0.25">
      <c r="O808" s="48" t="str" cm="1">
        <f t="array" ref="O808" xml:space="preserve"> IF(AND($L808 &lt;&gt; "", $L808 &lt;&gt; "Removed"), N808 + _xlfn.IFS(_xlfn.TEXTAFTER(L808," ",1) = "Days", _xlfn.NUMBERVALUE(_xlfn.TEXTBEFORE(L808," ",1)), L808="18 Months", 547, _xlfn.TEXTAFTER(L808," ",1) = "Years", _xlfn.NUMBERVALUE(_xlfn.TEXTBEFORE(L808," ",1))*365), "")</f>
        <v/>
      </c>
    </row>
    <row r="809" spans="15:15" ht="16.3" x14ac:dyDescent="0.25">
      <c r="O809" s="48" t="str" cm="1">
        <f t="array" ref="O809" xml:space="preserve"> IF(AND($L809 &lt;&gt; "", $L809 &lt;&gt; "Removed"), N809 + _xlfn.IFS(_xlfn.TEXTAFTER(L809," ",1) = "Days", _xlfn.NUMBERVALUE(_xlfn.TEXTBEFORE(L809," ",1)), L809="18 Months", 547, _xlfn.TEXTAFTER(L809," ",1) = "Years", _xlfn.NUMBERVALUE(_xlfn.TEXTBEFORE(L809," ",1))*365), "")</f>
        <v/>
      </c>
    </row>
    <row r="810" spans="15:15" ht="16.3" x14ac:dyDescent="0.25">
      <c r="O810" s="48" t="str" cm="1">
        <f t="array" ref="O810" xml:space="preserve"> IF(AND($L810 &lt;&gt; "", $L810 &lt;&gt; "Removed"), N810 + _xlfn.IFS(_xlfn.TEXTAFTER(L810," ",1) = "Days", _xlfn.NUMBERVALUE(_xlfn.TEXTBEFORE(L810," ",1)), L810="18 Months", 547, _xlfn.TEXTAFTER(L810," ",1) = "Years", _xlfn.NUMBERVALUE(_xlfn.TEXTBEFORE(L810," ",1))*365), "")</f>
        <v/>
      </c>
    </row>
    <row r="811" spans="15:15" ht="16.3" x14ac:dyDescent="0.25">
      <c r="O811" s="48" t="str" cm="1">
        <f t="array" ref="O811" xml:space="preserve"> IF(AND($L811 &lt;&gt; "", $L811 &lt;&gt; "Removed"), N811 + _xlfn.IFS(_xlfn.TEXTAFTER(L811," ",1) = "Days", _xlfn.NUMBERVALUE(_xlfn.TEXTBEFORE(L811," ",1)), L811="18 Months", 547, _xlfn.TEXTAFTER(L811," ",1) = "Years", _xlfn.NUMBERVALUE(_xlfn.TEXTBEFORE(L811," ",1))*365), "")</f>
        <v/>
      </c>
    </row>
    <row r="812" spans="15:15" ht="16.3" x14ac:dyDescent="0.25">
      <c r="O812" s="48" t="str" cm="1">
        <f t="array" ref="O812" xml:space="preserve"> IF(AND($L812 &lt;&gt; "", $L812 &lt;&gt; "Removed"), N812 + _xlfn.IFS(_xlfn.TEXTAFTER(L812," ",1) = "Days", _xlfn.NUMBERVALUE(_xlfn.TEXTBEFORE(L812," ",1)), L812="18 Months", 547, _xlfn.TEXTAFTER(L812," ",1) = "Years", _xlfn.NUMBERVALUE(_xlfn.TEXTBEFORE(L812," ",1))*365), "")</f>
        <v/>
      </c>
    </row>
    <row r="813" spans="15:15" ht="16.3" x14ac:dyDescent="0.25">
      <c r="O813" s="48" t="str" cm="1">
        <f t="array" ref="O813" xml:space="preserve"> IF(AND($L813 &lt;&gt; "", $L813 &lt;&gt; "Removed"), N813 + _xlfn.IFS(_xlfn.TEXTAFTER(L813," ",1) = "Days", _xlfn.NUMBERVALUE(_xlfn.TEXTBEFORE(L813," ",1)), L813="18 Months", 547, _xlfn.TEXTAFTER(L813," ",1) = "Years", _xlfn.NUMBERVALUE(_xlfn.TEXTBEFORE(L813," ",1))*365), "")</f>
        <v/>
      </c>
    </row>
    <row r="814" spans="15:15" ht="16.3" x14ac:dyDescent="0.25">
      <c r="O814" s="48" t="str" cm="1">
        <f t="array" ref="O814" xml:space="preserve"> IF(AND($L814 &lt;&gt; "", $L814 &lt;&gt; "Removed"), N814 + _xlfn.IFS(_xlfn.TEXTAFTER(L814," ",1) = "Days", _xlfn.NUMBERVALUE(_xlfn.TEXTBEFORE(L814," ",1)), L814="18 Months", 547, _xlfn.TEXTAFTER(L814," ",1) = "Years", _xlfn.NUMBERVALUE(_xlfn.TEXTBEFORE(L814," ",1))*365), "")</f>
        <v/>
      </c>
    </row>
    <row r="815" spans="15:15" ht="16.3" x14ac:dyDescent="0.25">
      <c r="O815" s="48" t="str" cm="1">
        <f t="array" ref="O815" xml:space="preserve"> IF(AND($L815 &lt;&gt; "", $L815 &lt;&gt; "Removed"), N815 + _xlfn.IFS(_xlfn.TEXTAFTER(L815," ",1) = "Days", _xlfn.NUMBERVALUE(_xlfn.TEXTBEFORE(L815," ",1)), L815="18 Months", 547, _xlfn.TEXTAFTER(L815," ",1) = "Years", _xlfn.NUMBERVALUE(_xlfn.TEXTBEFORE(L815," ",1))*365), "")</f>
        <v/>
      </c>
    </row>
    <row r="816" spans="15:15" ht="16.3" x14ac:dyDescent="0.25">
      <c r="O816" s="48" t="str" cm="1">
        <f t="array" ref="O816" xml:space="preserve"> IF(AND($L816 &lt;&gt; "", $L816 &lt;&gt; "Removed"), N816 + _xlfn.IFS(_xlfn.TEXTAFTER(L816," ",1) = "Days", _xlfn.NUMBERVALUE(_xlfn.TEXTBEFORE(L816," ",1)), L816="18 Months", 547, _xlfn.TEXTAFTER(L816," ",1) = "Years", _xlfn.NUMBERVALUE(_xlfn.TEXTBEFORE(L816," ",1))*365), "")</f>
        <v/>
      </c>
    </row>
    <row r="817" spans="15:15" ht="16.3" x14ac:dyDescent="0.25">
      <c r="O817" s="48" t="str" cm="1">
        <f t="array" ref="O817" xml:space="preserve"> IF(AND($L817 &lt;&gt; "", $L817 &lt;&gt; "Removed"), N817 + _xlfn.IFS(_xlfn.TEXTAFTER(L817," ",1) = "Days", _xlfn.NUMBERVALUE(_xlfn.TEXTBEFORE(L817," ",1)), L817="18 Months", 547, _xlfn.TEXTAFTER(L817," ",1) = "Years", _xlfn.NUMBERVALUE(_xlfn.TEXTBEFORE(L817," ",1))*365), "")</f>
        <v/>
      </c>
    </row>
    <row r="818" spans="15:15" ht="16.3" x14ac:dyDescent="0.25">
      <c r="O818" s="48" t="str" cm="1">
        <f t="array" ref="O818" xml:space="preserve"> IF(AND($L818 &lt;&gt; "", $L818 &lt;&gt; "Removed"), N818 + _xlfn.IFS(_xlfn.TEXTAFTER(L818," ",1) = "Days", _xlfn.NUMBERVALUE(_xlfn.TEXTBEFORE(L818," ",1)), L818="18 Months", 547, _xlfn.TEXTAFTER(L818," ",1) = "Years", _xlfn.NUMBERVALUE(_xlfn.TEXTBEFORE(L818," ",1))*365), "")</f>
        <v/>
      </c>
    </row>
    <row r="819" spans="15:15" ht="16.3" x14ac:dyDescent="0.25">
      <c r="O819" s="48" t="str" cm="1">
        <f t="array" ref="O819" xml:space="preserve"> IF(AND($L819 &lt;&gt; "", $L819 &lt;&gt; "Removed"), N819 + _xlfn.IFS(_xlfn.TEXTAFTER(L819," ",1) = "Days", _xlfn.NUMBERVALUE(_xlfn.TEXTBEFORE(L819," ",1)), L819="18 Months", 547, _xlfn.TEXTAFTER(L819," ",1) = "Years", _xlfn.NUMBERVALUE(_xlfn.TEXTBEFORE(L819," ",1))*365), "")</f>
        <v/>
      </c>
    </row>
    <row r="820" spans="15:15" ht="16.3" x14ac:dyDescent="0.25">
      <c r="O820" s="48" t="str" cm="1">
        <f t="array" ref="O820" xml:space="preserve"> IF(AND($L820 &lt;&gt; "", $L820 &lt;&gt; "Removed"), N820 + _xlfn.IFS(_xlfn.TEXTAFTER(L820," ",1) = "Days", _xlfn.NUMBERVALUE(_xlfn.TEXTBEFORE(L820," ",1)), L820="18 Months", 547, _xlfn.TEXTAFTER(L820," ",1) = "Years", _xlfn.NUMBERVALUE(_xlfn.TEXTBEFORE(L820," ",1))*365), "")</f>
        <v/>
      </c>
    </row>
    <row r="821" spans="15:15" ht="16.3" x14ac:dyDescent="0.25">
      <c r="O821" s="48" t="str" cm="1">
        <f t="array" ref="O821" xml:space="preserve"> IF(AND($L821 &lt;&gt; "", $L821 &lt;&gt; "Removed"), N821 + _xlfn.IFS(_xlfn.TEXTAFTER(L821," ",1) = "Days", _xlfn.NUMBERVALUE(_xlfn.TEXTBEFORE(L821," ",1)), L821="18 Months", 547, _xlfn.TEXTAFTER(L821," ",1) = "Years", _xlfn.NUMBERVALUE(_xlfn.TEXTBEFORE(L821," ",1))*365), "")</f>
        <v/>
      </c>
    </row>
    <row r="822" spans="15:15" ht="16.3" x14ac:dyDescent="0.25">
      <c r="O822" s="48" t="str" cm="1">
        <f t="array" ref="O822" xml:space="preserve"> IF(AND($L822 &lt;&gt; "", $L822 &lt;&gt; "Removed"), N822 + _xlfn.IFS(_xlfn.TEXTAFTER(L822," ",1) = "Days", _xlfn.NUMBERVALUE(_xlfn.TEXTBEFORE(L822," ",1)), L822="18 Months", 547, _xlfn.TEXTAFTER(L822," ",1) = "Years", _xlfn.NUMBERVALUE(_xlfn.TEXTBEFORE(L822," ",1))*365), "")</f>
        <v/>
      </c>
    </row>
    <row r="823" spans="15:15" ht="16.3" x14ac:dyDescent="0.25">
      <c r="O823" s="48" t="str" cm="1">
        <f t="array" ref="O823" xml:space="preserve"> IF(AND($L823 &lt;&gt; "", $L823 &lt;&gt; "Removed"), N823 + _xlfn.IFS(_xlfn.TEXTAFTER(L823," ",1) = "Days", _xlfn.NUMBERVALUE(_xlfn.TEXTBEFORE(L823," ",1)), L823="18 Months", 547, _xlfn.TEXTAFTER(L823," ",1) = "Years", _xlfn.NUMBERVALUE(_xlfn.TEXTBEFORE(L823," ",1))*365), "")</f>
        <v/>
      </c>
    </row>
    <row r="824" spans="15:15" ht="16.3" x14ac:dyDescent="0.25">
      <c r="O824" s="48" t="str" cm="1">
        <f t="array" ref="O824" xml:space="preserve"> IF(AND($L824 &lt;&gt; "", $L824 &lt;&gt; "Removed"), N824 + _xlfn.IFS(_xlfn.TEXTAFTER(L824," ",1) = "Days", _xlfn.NUMBERVALUE(_xlfn.TEXTBEFORE(L824," ",1)), L824="18 Months", 547, _xlfn.TEXTAFTER(L824," ",1) = "Years", _xlfn.NUMBERVALUE(_xlfn.TEXTBEFORE(L824," ",1))*365), "")</f>
        <v/>
      </c>
    </row>
    <row r="825" spans="15:15" ht="16.3" x14ac:dyDescent="0.25">
      <c r="O825" s="48" t="str" cm="1">
        <f t="array" ref="O825" xml:space="preserve"> IF(AND($L825 &lt;&gt; "", $L825 &lt;&gt; "Removed"), N825 + _xlfn.IFS(_xlfn.TEXTAFTER(L825," ",1) = "Days", _xlfn.NUMBERVALUE(_xlfn.TEXTBEFORE(L825," ",1)), L825="18 Months", 547, _xlfn.TEXTAFTER(L825," ",1) = "Years", _xlfn.NUMBERVALUE(_xlfn.TEXTBEFORE(L825," ",1))*365), "")</f>
        <v/>
      </c>
    </row>
    <row r="826" spans="15:15" ht="16.3" x14ac:dyDescent="0.25">
      <c r="O826" s="48" t="str" cm="1">
        <f t="array" ref="O826" xml:space="preserve"> IF(AND($L826 &lt;&gt; "", $L826 &lt;&gt; "Removed"), N826 + _xlfn.IFS(_xlfn.TEXTAFTER(L826," ",1) = "Days", _xlfn.NUMBERVALUE(_xlfn.TEXTBEFORE(L826," ",1)), L826="18 Months", 547, _xlfn.TEXTAFTER(L826," ",1) = "Years", _xlfn.NUMBERVALUE(_xlfn.TEXTBEFORE(L826," ",1))*365), "")</f>
        <v/>
      </c>
    </row>
    <row r="827" spans="15:15" ht="16.3" x14ac:dyDescent="0.25">
      <c r="O827" s="48" t="str" cm="1">
        <f t="array" ref="O827" xml:space="preserve"> IF(AND($L827 &lt;&gt; "", $L827 &lt;&gt; "Removed"), N827 + _xlfn.IFS(_xlfn.TEXTAFTER(L827," ",1) = "Days", _xlfn.NUMBERVALUE(_xlfn.TEXTBEFORE(L827," ",1)), L827="18 Months", 547, _xlfn.TEXTAFTER(L827," ",1) = "Years", _xlfn.NUMBERVALUE(_xlfn.TEXTBEFORE(L827," ",1))*365), "")</f>
        <v/>
      </c>
    </row>
    <row r="828" spans="15:15" ht="16.3" x14ac:dyDescent="0.25">
      <c r="O828" s="48" t="str" cm="1">
        <f t="array" ref="O828" xml:space="preserve"> IF(AND($L828 &lt;&gt; "", $L828 &lt;&gt; "Removed"), N828 + _xlfn.IFS(_xlfn.TEXTAFTER(L828," ",1) = "Days", _xlfn.NUMBERVALUE(_xlfn.TEXTBEFORE(L828," ",1)), L828="18 Months", 547, _xlfn.TEXTAFTER(L828," ",1) = "Years", _xlfn.NUMBERVALUE(_xlfn.TEXTBEFORE(L828," ",1))*365), "")</f>
        <v/>
      </c>
    </row>
    <row r="829" spans="15:15" ht="16.3" x14ac:dyDescent="0.25">
      <c r="O829" s="48" t="str" cm="1">
        <f t="array" ref="O829" xml:space="preserve"> IF(AND($L829 &lt;&gt; "", $L829 &lt;&gt; "Removed"), N829 + _xlfn.IFS(_xlfn.TEXTAFTER(L829," ",1) = "Days", _xlfn.NUMBERVALUE(_xlfn.TEXTBEFORE(L829," ",1)), L829="18 Months", 547, _xlfn.TEXTAFTER(L829," ",1) = "Years", _xlfn.NUMBERVALUE(_xlfn.TEXTBEFORE(L829," ",1))*365), "")</f>
        <v/>
      </c>
    </row>
    <row r="830" spans="15:15" ht="16.3" x14ac:dyDescent="0.25">
      <c r="O830" s="48" t="str" cm="1">
        <f t="array" ref="O830" xml:space="preserve"> IF(AND($L830 &lt;&gt; "", $L830 &lt;&gt; "Removed"), N830 + _xlfn.IFS(_xlfn.TEXTAFTER(L830," ",1) = "Days", _xlfn.NUMBERVALUE(_xlfn.TEXTBEFORE(L830," ",1)), L830="18 Months", 547, _xlfn.TEXTAFTER(L830," ",1) = "Years", _xlfn.NUMBERVALUE(_xlfn.TEXTBEFORE(L830," ",1))*365), "")</f>
        <v/>
      </c>
    </row>
    <row r="831" spans="15:15" ht="16.3" x14ac:dyDescent="0.25">
      <c r="O831" s="48" t="str" cm="1">
        <f t="array" ref="O831" xml:space="preserve"> IF(AND($L831 &lt;&gt; "", $L831 &lt;&gt; "Removed"), N831 + _xlfn.IFS(_xlfn.TEXTAFTER(L831," ",1) = "Days", _xlfn.NUMBERVALUE(_xlfn.TEXTBEFORE(L831," ",1)), L831="18 Months", 547, _xlfn.TEXTAFTER(L831," ",1) = "Years", _xlfn.NUMBERVALUE(_xlfn.TEXTBEFORE(L831," ",1))*365), "")</f>
        <v/>
      </c>
    </row>
    <row r="832" spans="15:15" ht="16.3" x14ac:dyDescent="0.25">
      <c r="O832" s="48" t="str" cm="1">
        <f t="array" ref="O832" xml:space="preserve"> IF(AND($L832 &lt;&gt; "", $L832 &lt;&gt; "Removed"), N832 + _xlfn.IFS(_xlfn.TEXTAFTER(L832," ",1) = "Days", _xlfn.NUMBERVALUE(_xlfn.TEXTBEFORE(L832," ",1)), L832="18 Months", 547, _xlfn.TEXTAFTER(L832," ",1) = "Years", _xlfn.NUMBERVALUE(_xlfn.TEXTBEFORE(L832," ",1))*365), "")</f>
        <v/>
      </c>
    </row>
    <row r="833" spans="15:15" ht="16.3" x14ac:dyDescent="0.25">
      <c r="O833" s="48" t="str" cm="1">
        <f t="array" ref="O833" xml:space="preserve"> IF(AND($L833 &lt;&gt; "", $L833 &lt;&gt; "Removed"), N833 + _xlfn.IFS(_xlfn.TEXTAFTER(L833," ",1) = "Days", _xlfn.NUMBERVALUE(_xlfn.TEXTBEFORE(L833," ",1)), L833="18 Months", 547, _xlfn.TEXTAFTER(L833," ",1) = "Years", _xlfn.NUMBERVALUE(_xlfn.TEXTBEFORE(L833," ",1))*365), "")</f>
        <v/>
      </c>
    </row>
    <row r="834" spans="15:15" ht="16.3" x14ac:dyDescent="0.25">
      <c r="O834" s="48" t="str" cm="1">
        <f t="array" ref="O834" xml:space="preserve"> IF(AND($L834 &lt;&gt; "", $L834 &lt;&gt; "Removed"), N834 + _xlfn.IFS(_xlfn.TEXTAFTER(L834," ",1) = "Days", _xlfn.NUMBERVALUE(_xlfn.TEXTBEFORE(L834," ",1)), L834="18 Months", 547, _xlfn.TEXTAFTER(L834," ",1) = "Years", _xlfn.NUMBERVALUE(_xlfn.TEXTBEFORE(L834," ",1))*365), "")</f>
        <v/>
      </c>
    </row>
    <row r="835" spans="15:15" ht="16.3" x14ac:dyDescent="0.25">
      <c r="O835" s="48" t="str" cm="1">
        <f t="array" ref="O835" xml:space="preserve"> IF(AND($L835 &lt;&gt; "", $L835 &lt;&gt; "Removed"), N835 + _xlfn.IFS(_xlfn.TEXTAFTER(L835," ",1) = "Days", _xlfn.NUMBERVALUE(_xlfn.TEXTBEFORE(L835," ",1)), L835="18 Months", 547, _xlfn.TEXTAFTER(L835," ",1) = "Years", _xlfn.NUMBERVALUE(_xlfn.TEXTBEFORE(L835," ",1))*365), "")</f>
        <v/>
      </c>
    </row>
    <row r="836" spans="15:15" ht="16.3" x14ac:dyDescent="0.25">
      <c r="O836" s="48" t="str" cm="1">
        <f t="array" ref="O836" xml:space="preserve"> IF(AND($L836 &lt;&gt; "", $L836 &lt;&gt; "Removed"), N836 + _xlfn.IFS(_xlfn.TEXTAFTER(L836," ",1) = "Days", _xlfn.NUMBERVALUE(_xlfn.TEXTBEFORE(L836," ",1)), L836="18 Months", 547, _xlfn.TEXTAFTER(L836," ",1) = "Years", _xlfn.NUMBERVALUE(_xlfn.TEXTBEFORE(L836," ",1))*365), "")</f>
        <v/>
      </c>
    </row>
    <row r="837" spans="15:15" ht="16.3" x14ac:dyDescent="0.25">
      <c r="O837" s="48" t="str" cm="1">
        <f t="array" ref="O837" xml:space="preserve"> IF(AND($L837 &lt;&gt; "", $L837 &lt;&gt; "Removed"), N837 + _xlfn.IFS(_xlfn.TEXTAFTER(L837," ",1) = "Days", _xlfn.NUMBERVALUE(_xlfn.TEXTBEFORE(L837," ",1)), L837="18 Months", 547, _xlfn.TEXTAFTER(L837," ",1) = "Years", _xlfn.NUMBERVALUE(_xlfn.TEXTBEFORE(L837," ",1))*365), "")</f>
        <v/>
      </c>
    </row>
    <row r="838" spans="15:15" ht="16.3" x14ac:dyDescent="0.25">
      <c r="O838" s="48" t="str" cm="1">
        <f t="array" ref="O838" xml:space="preserve"> IF(AND($L838 &lt;&gt; "", $L838 &lt;&gt; "Removed"), N838 + _xlfn.IFS(_xlfn.TEXTAFTER(L838," ",1) = "Days", _xlfn.NUMBERVALUE(_xlfn.TEXTBEFORE(L838," ",1)), L838="18 Months", 547, _xlfn.TEXTAFTER(L838," ",1) = "Years", _xlfn.NUMBERVALUE(_xlfn.TEXTBEFORE(L838," ",1))*365), "")</f>
        <v/>
      </c>
    </row>
    <row r="839" spans="15:15" ht="16.3" x14ac:dyDescent="0.25">
      <c r="O839" s="48" t="str" cm="1">
        <f t="array" ref="O839" xml:space="preserve"> IF(AND($L839 &lt;&gt; "", $L839 &lt;&gt; "Removed"), N839 + _xlfn.IFS(_xlfn.TEXTAFTER(L839," ",1) = "Days", _xlfn.NUMBERVALUE(_xlfn.TEXTBEFORE(L839," ",1)), L839="18 Months", 547, _xlfn.TEXTAFTER(L839," ",1) = "Years", _xlfn.NUMBERVALUE(_xlfn.TEXTBEFORE(L839," ",1))*365), "")</f>
        <v/>
      </c>
    </row>
    <row r="840" spans="15:15" ht="16.3" x14ac:dyDescent="0.25">
      <c r="O840" s="48" t="str" cm="1">
        <f t="array" ref="O840" xml:space="preserve"> IF(AND($L840 &lt;&gt; "", $L840 &lt;&gt; "Removed"), N840 + _xlfn.IFS(_xlfn.TEXTAFTER(L840," ",1) = "Days", _xlfn.NUMBERVALUE(_xlfn.TEXTBEFORE(L840," ",1)), L840="18 Months", 547, _xlfn.TEXTAFTER(L840," ",1) = "Years", _xlfn.NUMBERVALUE(_xlfn.TEXTBEFORE(L840," ",1))*365), "")</f>
        <v/>
      </c>
    </row>
    <row r="841" spans="15:15" ht="16.3" x14ac:dyDescent="0.25">
      <c r="O841" s="48" t="str" cm="1">
        <f t="array" ref="O841" xml:space="preserve"> IF(AND($L841 &lt;&gt; "", $L841 &lt;&gt; "Removed"), N841 + _xlfn.IFS(_xlfn.TEXTAFTER(L841," ",1) = "Days", _xlfn.NUMBERVALUE(_xlfn.TEXTBEFORE(L841," ",1)), L841="18 Months", 547, _xlfn.TEXTAFTER(L841," ",1) = "Years", _xlfn.NUMBERVALUE(_xlfn.TEXTBEFORE(L841," ",1))*365), "")</f>
        <v/>
      </c>
    </row>
    <row r="842" spans="15:15" ht="16.3" x14ac:dyDescent="0.25">
      <c r="O842" s="48" t="str" cm="1">
        <f t="array" ref="O842" xml:space="preserve"> IF(AND($L842 &lt;&gt; "", $L842 &lt;&gt; "Removed"), N842 + _xlfn.IFS(_xlfn.TEXTAFTER(L842," ",1) = "Days", _xlfn.NUMBERVALUE(_xlfn.TEXTBEFORE(L842," ",1)), L842="18 Months", 547, _xlfn.TEXTAFTER(L842," ",1) = "Years", _xlfn.NUMBERVALUE(_xlfn.TEXTBEFORE(L842," ",1))*365), "")</f>
        <v/>
      </c>
    </row>
    <row r="843" spans="15:15" ht="16.3" x14ac:dyDescent="0.25">
      <c r="O843" s="48" t="str" cm="1">
        <f t="array" ref="O843" xml:space="preserve"> IF(AND($L843 &lt;&gt; "", $L843 &lt;&gt; "Removed"), N843 + _xlfn.IFS(_xlfn.TEXTAFTER(L843," ",1) = "Days", _xlfn.NUMBERVALUE(_xlfn.TEXTBEFORE(L843," ",1)), L843="18 Months", 547, _xlfn.TEXTAFTER(L843," ",1) = "Years", _xlfn.NUMBERVALUE(_xlfn.TEXTBEFORE(L843," ",1))*365), "")</f>
        <v/>
      </c>
    </row>
    <row r="844" spans="15:15" ht="16.3" x14ac:dyDescent="0.25">
      <c r="O844" s="48" t="str" cm="1">
        <f t="array" ref="O844" xml:space="preserve"> IF(AND($L844 &lt;&gt; "", $L844 &lt;&gt; "Removed"), N844 + _xlfn.IFS(_xlfn.TEXTAFTER(L844," ",1) = "Days", _xlfn.NUMBERVALUE(_xlfn.TEXTBEFORE(L844," ",1)), L844="18 Months", 547, _xlfn.TEXTAFTER(L844," ",1) = "Years", _xlfn.NUMBERVALUE(_xlfn.TEXTBEFORE(L844," ",1))*365), "")</f>
        <v/>
      </c>
    </row>
  </sheetData>
  <autoFilter ref="B5:Q36" xr:uid="{A7677055-11D1-4F5D-B577-D1D13B904DF1}"/>
  <mergeCells count="3">
    <mergeCell ref="B2:Q3"/>
    <mergeCell ref="S7:T8"/>
    <mergeCell ref="S49:T50"/>
  </mergeCells>
  <phoneticPr fontId="18" type="noConversion"/>
  <conditionalFormatting sqref="B303">
    <cfRule type="expression" dxfId="691" priority="820">
      <formula>$L300="365 Days"</formula>
    </cfRule>
    <cfRule type="expression" dxfId="690" priority="834">
      <formula>$L300="60 Days"</formula>
    </cfRule>
    <cfRule type="expression" dxfId="689" priority="835">
      <formula>$L300="30 Days"</formula>
    </cfRule>
    <cfRule type="expression" dxfId="688" priority="818">
      <formula>$L300="2 Years"</formula>
    </cfRule>
    <cfRule type="expression" dxfId="687" priority="816">
      <formula>AND($O300 &lt;&gt; "",$O300&lt;TODAY())</formula>
    </cfRule>
    <cfRule type="expression" dxfId="686" priority="819">
      <formula>$L300="18 Months"</formula>
    </cfRule>
    <cfRule type="expression" dxfId="685" priority="817">
      <formula>$L300="3 Years"</formula>
    </cfRule>
    <cfRule type="expression" dxfId="684" priority="821">
      <formula>$L300="180 Days"</formula>
    </cfRule>
    <cfRule type="expression" dxfId="683" priority="822">
      <formula>$L300="120 Days"</formula>
    </cfRule>
    <cfRule type="expression" dxfId="682" priority="823">
      <formula>$L300="90 Days"</formula>
    </cfRule>
    <cfRule type="expression" dxfId="681" priority="833">
      <formula>$L300="90 Days"</formula>
    </cfRule>
    <cfRule type="expression" dxfId="680" priority="832">
      <formula>$L300="120 Days"</formula>
    </cfRule>
    <cfRule type="expression" dxfId="679" priority="831">
      <formula>$L300="180 Days"</formula>
    </cfRule>
    <cfRule type="expression" dxfId="678" priority="830">
      <formula>$L300="365 Days"</formula>
    </cfRule>
    <cfRule type="expression" dxfId="677" priority="829">
      <formula>$L300="18 Months"</formula>
    </cfRule>
    <cfRule type="expression" dxfId="676" priority="828">
      <formula>$L300="2 Years"</formula>
    </cfRule>
    <cfRule type="expression" dxfId="675" priority="827">
      <formula>$L300="3 Years"</formula>
    </cfRule>
    <cfRule type="expression" dxfId="674" priority="826">
      <formula>$L300="Removed"</formula>
    </cfRule>
    <cfRule type="expression" dxfId="673" priority="825">
      <formula>$L300="30 Days"</formula>
    </cfRule>
    <cfRule type="expression" dxfId="672" priority="824">
      <formula>$L300="60 Days"</formula>
    </cfRule>
  </conditionalFormatting>
  <conditionalFormatting sqref="B11:F11 H11:Q11 B12:Q12 B13:F13 H13:Q13 B14:Q295 B296:J296 L296:Q296 B297:Q299 C300:Q300 B301:Q302 D303:J303 L303:Q303 B304:Q2003 B7:Q10">
    <cfRule type="expression" dxfId="671" priority="786">
      <formula>$L7="Removed"</formula>
    </cfRule>
  </conditionalFormatting>
  <conditionalFormatting sqref="B11:F11 H11:Q11 B12:Q12 B13:F13 H13:Q13 B14:Q295 B296:J296 L296:Q296 B297:Q299 C300:Q300 B301:Q302 D303:J303 L303:Q303 B304:Q2003">
    <cfRule type="expression" dxfId="670" priority="785">
      <formula>$L11="30 Days"</formula>
    </cfRule>
    <cfRule type="expression" dxfId="669" priority="777">
      <formula>$L11="3 Years"</formula>
    </cfRule>
    <cfRule type="expression" dxfId="668" priority="778">
      <formula>$L11="2 Years"</formula>
    </cfRule>
    <cfRule type="expression" dxfId="667" priority="779">
      <formula>$L11="18 Months"</formula>
    </cfRule>
    <cfRule type="expression" dxfId="666" priority="780">
      <formula>$L11="365 Days"</formula>
    </cfRule>
    <cfRule type="expression" dxfId="665" priority="781">
      <formula>$L11="180 Days"</formula>
    </cfRule>
    <cfRule type="expression" dxfId="664" priority="782">
      <formula>$L11="120 Days"</formula>
    </cfRule>
    <cfRule type="expression" dxfId="663" priority="783">
      <formula>$L11="90 Days"</formula>
    </cfRule>
    <cfRule type="expression" dxfId="662" priority="784">
      <formula>$L11="60 Days"</formula>
    </cfRule>
  </conditionalFormatting>
  <conditionalFormatting sqref="B6:Q6">
    <cfRule type="expression" dxfId="661" priority="732">
      <formula>$L6="60 Days"</formula>
    </cfRule>
    <cfRule type="expression" dxfId="660" priority="734">
      <formula>$L6="Removed"</formula>
    </cfRule>
    <cfRule type="expression" dxfId="659" priority="733">
      <formula>$L6="30 Days"</formula>
    </cfRule>
    <cfRule type="expression" dxfId="658" priority="731">
      <formula>$L6="90 Days"</formula>
    </cfRule>
    <cfRule type="expression" dxfId="657" priority="730">
      <formula>$L6="120 Days"</formula>
    </cfRule>
    <cfRule type="expression" dxfId="656" priority="729">
      <formula>$L6="180 Days"</formula>
    </cfRule>
    <cfRule type="expression" dxfId="655" priority="728">
      <formula>$L6="365 Days"</formula>
    </cfRule>
    <cfRule type="expression" dxfId="654" priority="727">
      <formula>$L6="18 Months"</formula>
    </cfRule>
    <cfRule type="expression" dxfId="653" priority="726">
      <formula>$L6="2 Years"</formula>
    </cfRule>
    <cfRule type="expression" dxfId="652" priority="725">
      <formula>$L6="3 Years"</formula>
    </cfRule>
  </conditionalFormatting>
  <conditionalFormatting sqref="B6:Q10">
    <cfRule type="expression" dxfId="651" priority="739">
      <formula>$L6="180 Days"</formula>
    </cfRule>
    <cfRule type="expression" dxfId="650" priority="738">
      <formula>$L6="365 Days"</formula>
    </cfRule>
    <cfRule type="expression" dxfId="649" priority="741">
      <formula>$L6="90 Days"</formula>
    </cfRule>
    <cfRule type="expression" dxfId="648" priority="743">
      <formula>$L6="30 Days"</formula>
    </cfRule>
    <cfRule type="expression" dxfId="647" priority="742">
      <formula>$L6="60 Days"</formula>
    </cfRule>
    <cfRule type="expression" dxfId="646" priority="740">
      <formula>$L6="120 Days"</formula>
    </cfRule>
    <cfRule type="expression" dxfId="645" priority="737">
      <formula>$L6="18 Months"</formula>
    </cfRule>
    <cfRule type="expression" dxfId="644" priority="736">
      <formula>$L6="2 Years"</formula>
    </cfRule>
    <cfRule type="expression" dxfId="643" priority="735">
      <formula>$L6="3 Years"</formula>
    </cfRule>
    <cfRule type="expression" dxfId="642" priority="724">
      <formula>AND($O6 &lt;&gt; "",$O6&lt;TODAY())</formula>
    </cfRule>
  </conditionalFormatting>
  <conditionalFormatting sqref="B7:Q10 B11:F11 H11:Q11 B12:Q12 B13:F13 H13:Q13 B14:Q295 B296:J296 L296:Q296 B297:Q299 C300:Q300 B301:Q302 D303:J303 L303:Q303 B304:Q2003">
    <cfRule type="expression" dxfId="641" priority="793">
      <formula>$L7="90 Days"</formula>
    </cfRule>
    <cfRule type="expression" dxfId="640" priority="792">
      <formula>$L7="120 Days"</formula>
    </cfRule>
    <cfRule type="expression" dxfId="639" priority="791">
      <formula>$L7="180 Days"</formula>
    </cfRule>
    <cfRule type="expression" dxfId="638" priority="789">
      <formula>$L7="18 Months"</formula>
    </cfRule>
    <cfRule type="expression" dxfId="637" priority="787">
      <formula>$L7="3 Years"</formula>
    </cfRule>
    <cfRule type="expression" dxfId="636" priority="794">
      <formula>$L7="60 Days"</formula>
    </cfRule>
    <cfRule type="expression" dxfId="635" priority="795">
      <formula>$L7="30 Days"</formula>
    </cfRule>
    <cfRule type="expression" dxfId="634" priority="788">
      <formula>$L7="2 Years"</formula>
    </cfRule>
    <cfRule type="expression" dxfId="633" priority="790">
      <formula>$L7="365 Days"</formula>
    </cfRule>
  </conditionalFormatting>
  <conditionalFormatting sqref="B12:Q12 B14:Q295 B11:F11 H11:Q11 B13:F13 H13:Q13 B296:J296 L296:Q296 B297:Q299 C300:Q300 B301:Q302 D303:J303 L303:Q303 B304:Q2003">
    <cfRule type="expression" dxfId="632" priority="776">
      <formula>AND($O11 &lt;&gt; "",$O11&lt;TODAY())</formula>
    </cfRule>
  </conditionalFormatting>
  <conditionalFormatting sqref="G11">
    <cfRule type="expression" dxfId="631" priority="939">
      <formula>$L13="18 Months"</formula>
    </cfRule>
    <cfRule type="expression" dxfId="630" priority="937">
      <formula>$L13="3 Years"</formula>
    </cfRule>
    <cfRule type="expression" dxfId="629" priority="936">
      <formula>AND($O13 &lt;&gt; "",$O13&lt;TODAY())</formula>
    </cfRule>
    <cfRule type="expression" dxfId="628" priority="938">
      <formula>$L13="2 Years"</formula>
    </cfRule>
    <cfRule type="expression" dxfId="627" priority="945">
      <formula>$L13="30 Days"</formula>
    </cfRule>
    <cfRule type="expression" dxfId="626" priority="955">
      <formula>$L13="30 Days"</formula>
    </cfRule>
    <cfRule type="expression" dxfId="625" priority="944">
      <formula>$L13="60 Days"</formula>
    </cfRule>
    <cfRule type="expression" dxfId="624" priority="943">
      <formula>$L13="90 Days"</formula>
    </cfRule>
    <cfRule type="expression" dxfId="623" priority="942">
      <formula>$L13="120 Days"</formula>
    </cfRule>
    <cfRule type="expression" dxfId="622" priority="941">
      <formula>$L13="180 Days"</formula>
    </cfRule>
    <cfRule type="expression" dxfId="621" priority="954">
      <formula>$L13="60 Days"</formula>
    </cfRule>
    <cfRule type="expression" dxfId="620" priority="940">
      <formula>$L13="365 Days"</formula>
    </cfRule>
    <cfRule type="expression" dxfId="619" priority="946">
      <formula>$L13="Removed"</formula>
    </cfRule>
    <cfRule type="expression" dxfId="618" priority="947">
      <formula>$L13="3 Years"</formula>
    </cfRule>
    <cfRule type="expression" dxfId="617" priority="948">
      <formula>$L13="2 Years"</formula>
    </cfRule>
    <cfRule type="expression" dxfId="616" priority="949">
      <formula>$L13="18 Months"</formula>
    </cfRule>
    <cfRule type="expression" dxfId="615" priority="950">
      <formula>$L13="365 Days"</formula>
    </cfRule>
    <cfRule type="expression" dxfId="614" priority="951">
      <formula>$L13="180 Days"</formula>
    </cfRule>
    <cfRule type="expression" dxfId="613" priority="952">
      <formula>$L13="120 Days"</formula>
    </cfRule>
    <cfRule type="expression" dxfId="612" priority="953">
      <formula>$L13="90 Days"</formula>
    </cfRule>
  </conditionalFormatting>
  <conditionalFormatting sqref="K294">
    <cfRule type="expression" dxfId="611" priority="865">
      <formula>$L296="30 Days"</formula>
    </cfRule>
    <cfRule type="expression" dxfId="610" priority="864">
      <formula>$L296="60 Days"</formula>
    </cfRule>
    <cfRule type="expression" dxfId="609" priority="863">
      <formula>$L296="90 Days"</formula>
    </cfRule>
    <cfRule type="expression" dxfId="608" priority="862">
      <formula>$L296="120 Days"</formula>
    </cfRule>
    <cfRule type="expression" dxfId="607" priority="861">
      <formula>$L296="180 Days"</formula>
    </cfRule>
    <cfRule type="expression" dxfId="606" priority="860">
      <formula>$L296="365 Days"</formula>
    </cfRule>
    <cfRule type="expression" dxfId="605" priority="859">
      <formula>$L296="18 Months"</formula>
    </cfRule>
    <cfRule type="expression" dxfId="604" priority="858">
      <formula>$L296="2 Years"</formula>
    </cfRule>
    <cfRule type="expression" dxfId="603" priority="856">
      <formula>AND($O296 &lt;&gt; "",$O296&lt;TODAY())</formula>
    </cfRule>
    <cfRule type="expression" dxfId="602" priority="902">
      <formula>$L303="120 Days"</formula>
    </cfRule>
    <cfRule type="expression" dxfId="601" priority="901">
      <formula>$L303="180 Days"</formula>
    </cfRule>
    <cfRule type="expression" dxfId="600" priority="915">
      <formula>$L303="30 Days"</formula>
    </cfRule>
    <cfRule type="expression" dxfId="599" priority="857">
      <formula>$L296="3 Years"</formula>
    </cfRule>
    <cfRule type="expression" dxfId="598" priority="914">
      <formula>$L303="60 Days"</formula>
    </cfRule>
    <cfRule type="expression" dxfId="597" priority="913">
      <formula>$L303="90 Days"</formula>
    </cfRule>
    <cfRule type="expression" dxfId="596" priority="912">
      <formula>$L303="120 Days"</formula>
    </cfRule>
    <cfRule type="expression" dxfId="595" priority="911">
      <formula>$L303="180 Days"</formula>
    </cfRule>
    <cfRule type="expression" dxfId="594" priority="910">
      <formula>$L303="365 Days"</formula>
    </cfRule>
    <cfRule type="expression" dxfId="593" priority="909">
      <formula>$L303="18 Months"</formula>
    </cfRule>
    <cfRule type="expression" dxfId="592" priority="908">
      <formula>$L303="2 Years"</formula>
    </cfRule>
    <cfRule type="expression" dxfId="591" priority="907">
      <formula>$L303="3 Years"</formula>
    </cfRule>
    <cfRule type="expression" dxfId="590" priority="906">
      <formula>$L303="Removed"</formula>
    </cfRule>
    <cfRule type="expression" dxfId="589" priority="905">
      <formula>$L303="30 Days"</formula>
    </cfRule>
    <cfRule type="expression" dxfId="588" priority="904">
      <formula>$L303="60 Days"</formula>
    </cfRule>
    <cfRule type="expression" dxfId="587" priority="903">
      <formula>$L303="90 Days"</formula>
    </cfRule>
    <cfRule type="expression" dxfId="586" priority="900">
      <formula>$L303="365 Days"</formula>
    </cfRule>
    <cfRule type="expression" dxfId="585" priority="899">
      <formula>$L303="18 Months"</formula>
    </cfRule>
    <cfRule type="expression" dxfId="584" priority="898">
      <formula>$L303="2 Years"</formula>
    </cfRule>
    <cfRule type="expression" dxfId="583" priority="897">
      <formula>$L303="3 Years"</formula>
    </cfRule>
    <cfRule type="expression" dxfId="582" priority="896">
      <formula>AND($O303 &lt;&gt; "",$O303&lt;TODAY())</formula>
    </cfRule>
    <cfRule type="expression" dxfId="581" priority="875">
      <formula>$L296="30 Days"</formula>
    </cfRule>
    <cfRule type="expression" dxfId="580" priority="874">
      <formula>$L296="60 Days"</formula>
    </cfRule>
    <cfRule type="expression" dxfId="579" priority="873">
      <formula>$L296="90 Days"</formula>
    </cfRule>
    <cfRule type="expression" dxfId="578" priority="872">
      <formula>$L296="120 Days"</formula>
    </cfRule>
    <cfRule type="expression" dxfId="577" priority="871">
      <formula>$L296="180 Days"</formula>
    </cfRule>
    <cfRule type="expression" dxfId="576" priority="870">
      <formula>$L296="365 Days"</formula>
    </cfRule>
    <cfRule type="expression" dxfId="575" priority="869">
      <formula>$L296="18 Months"</formula>
    </cfRule>
    <cfRule type="expression" dxfId="574" priority="868">
      <formula>$L296="2 Years"</formula>
    </cfRule>
    <cfRule type="expression" dxfId="573" priority="867">
      <formula>$L296="3 Years"</formula>
    </cfRule>
    <cfRule type="expression" dxfId="572" priority="866">
      <formula>$L296="Removed"</formula>
    </cfRule>
  </conditionalFormatting>
  <conditionalFormatting sqref="M7">
    <cfRule type="expression" dxfId="571" priority="14">
      <formula>$L7="18 Months"</formula>
    </cfRule>
    <cfRule type="expression" dxfId="570" priority="20">
      <formula>$L7="30 Days"</formula>
    </cfRule>
    <cfRule type="expression" dxfId="569" priority="19">
      <formula>$L7="60 Days"</formula>
    </cfRule>
    <cfRule type="expression" dxfId="568" priority="18">
      <formula>$L7="90 Days"</formula>
    </cfRule>
    <cfRule type="expression" dxfId="567" priority="17">
      <formula>$L7="120 Days"</formula>
    </cfRule>
    <cfRule type="expression" dxfId="566" priority="16">
      <formula>$L7="180 Days"</formula>
    </cfRule>
    <cfRule type="expression" dxfId="565" priority="15">
      <formula>$L7="365 Days"</formula>
    </cfRule>
    <cfRule type="expression" dxfId="564" priority="13">
      <formula>$L7="2 Years"</formula>
    </cfRule>
    <cfRule type="expression" dxfId="563" priority="12">
      <formula>$L7="3 Years"</formula>
    </cfRule>
    <cfRule type="expression" dxfId="562" priority="11">
      <formula>AND($O7 &lt;&gt; "",$O7&lt;TODAY())</formula>
    </cfRule>
  </conditionalFormatting>
  <conditionalFormatting sqref="M9:M10">
    <cfRule type="expression" dxfId="561" priority="21">
      <formula>AND($O9 &lt;&gt; "",$O9&lt;TODAY())</formula>
    </cfRule>
    <cfRule type="expression" dxfId="560" priority="29">
      <formula>$L9="60 Days"</formula>
    </cfRule>
    <cfRule type="expression" dxfId="559" priority="23">
      <formula>$L9="2 Years"</formula>
    </cfRule>
    <cfRule type="expression" dxfId="558" priority="30">
      <formula>$L9="30 Days"</formula>
    </cfRule>
    <cfRule type="expression" dxfId="557" priority="28">
      <formula>$L9="90 Days"</formula>
    </cfRule>
    <cfRule type="expression" dxfId="556" priority="27">
      <formula>$L9="120 Days"</formula>
    </cfRule>
    <cfRule type="expression" dxfId="555" priority="26">
      <formula>$L9="180 Days"</formula>
    </cfRule>
    <cfRule type="expression" dxfId="554" priority="25">
      <formula>$L9="365 Days"</formula>
    </cfRule>
    <cfRule type="expression" dxfId="553" priority="24">
      <formula>$L9="18 Months"</formula>
    </cfRule>
    <cfRule type="expression" dxfId="552" priority="22">
      <formula>$L9="3 Years"</formula>
    </cfRule>
  </conditionalFormatting>
  <conditionalFormatting sqref="N12">
    <cfRule type="expression" dxfId="551" priority="721">
      <formula>$L12="30 Days"</formula>
    </cfRule>
    <cfRule type="expression" dxfId="550" priority="720">
      <formula>$L12="60 Days"</formula>
    </cfRule>
    <cfRule type="expression" dxfId="549" priority="719">
      <formula>$L12="90 Days"</formula>
    </cfRule>
    <cfRule type="expression" dxfId="548" priority="718">
      <formula>$L12="120 Days"</formula>
    </cfRule>
    <cfRule type="expression" dxfId="547" priority="717">
      <formula>$L12="180 Days"</formula>
    </cfRule>
    <cfRule type="expression" dxfId="546" priority="715">
      <formula>$L12="18 Months"</formula>
    </cfRule>
    <cfRule type="expression" dxfId="545" priority="714">
      <formula>$L12="2 Years"</formula>
    </cfRule>
    <cfRule type="expression" dxfId="544" priority="713">
      <formula>$L12="3 Years"</formula>
    </cfRule>
    <cfRule type="expression" dxfId="543" priority="712">
      <formula>AND($O12 &lt;&gt; "",$O12&lt;TODAY())</formula>
    </cfRule>
    <cfRule type="expression" dxfId="542" priority="716">
      <formula>$L12="365 Days"</formula>
    </cfRule>
  </conditionalFormatting>
  <conditionalFormatting sqref="N14">
    <cfRule type="expression" dxfId="541" priority="708">
      <formula>$L14="120 Days"</formula>
    </cfRule>
    <cfRule type="expression" dxfId="540" priority="711">
      <formula>$L14="30 Days"</formula>
    </cfRule>
    <cfRule type="expression" dxfId="539" priority="710">
      <formula>$L14="60 Days"</formula>
    </cfRule>
    <cfRule type="expression" dxfId="538" priority="709">
      <formula>$L14="90 Days"</formula>
    </cfRule>
    <cfRule type="expression" dxfId="537" priority="707">
      <formula>$L14="180 Days"</formula>
    </cfRule>
    <cfRule type="expression" dxfId="536" priority="706">
      <formula>$L14="365 Days"</formula>
    </cfRule>
    <cfRule type="expression" dxfId="535" priority="705">
      <formula>$L14="18 Months"</formula>
    </cfRule>
    <cfRule type="expression" dxfId="534" priority="704">
      <formula>$L14="2 Years"</formula>
    </cfRule>
    <cfRule type="expression" dxfId="533" priority="703">
      <formula>$L14="3 Years"</formula>
    </cfRule>
    <cfRule type="expression" dxfId="532" priority="702">
      <formula>AND($O14 &lt;&gt; "",$O14&lt;TODAY())</formula>
    </cfRule>
  </conditionalFormatting>
  <conditionalFormatting sqref="N20">
    <cfRule type="expression" dxfId="531" priority="700">
      <formula>$L20="60 Days"</formula>
    </cfRule>
    <cfRule type="expression" dxfId="530" priority="699">
      <formula>$L20="90 Days"</formula>
    </cfRule>
    <cfRule type="expression" dxfId="529" priority="698">
      <formula>$L20="120 Days"</formula>
    </cfRule>
    <cfRule type="expression" dxfId="528" priority="694">
      <formula>$L20="2 Years"</formula>
    </cfRule>
    <cfRule type="expression" dxfId="527" priority="697">
      <formula>$L20="180 Days"</formula>
    </cfRule>
    <cfRule type="expression" dxfId="526" priority="696">
      <formula>$L20="365 Days"</formula>
    </cfRule>
    <cfRule type="expression" dxfId="525" priority="695">
      <formula>$L20="18 Months"</formula>
    </cfRule>
    <cfRule type="expression" dxfId="524" priority="701">
      <formula>$L20="30 Days"</formula>
    </cfRule>
    <cfRule type="expression" dxfId="523" priority="693">
      <formula>$L20="3 Years"</formula>
    </cfRule>
    <cfRule type="expression" dxfId="522" priority="692">
      <formula>AND($O20 &lt;&gt; "",$O20&lt;TODAY())</formula>
    </cfRule>
  </conditionalFormatting>
  <conditionalFormatting sqref="N23">
    <cfRule type="expression" dxfId="521" priority="691">
      <formula>$L23="30 Days"</formula>
    </cfRule>
    <cfRule type="expression" dxfId="520" priority="690">
      <formula>$L23="60 Days"</formula>
    </cfRule>
    <cfRule type="expression" dxfId="519" priority="689">
      <formula>$L23="90 Days"</formula>
    </cfRule>
    <cfRule type="expression" dxfId="518" priority="688">
      <formula>$L23="120 Days"</formula>
    </cfRule>
    <cfRule type="expression" dxfId="517" priority="687">
      <formula>$L23="180 Days"</formula>
    </cfRule>
    <cfRule type="expression" dxfId="516" priority="685">
      <formula>$L23="18 Months"</formula>
    </cfRule>
    <cfRule type="expression" dxfId="515" priority="684">
      <formula>$L23="2 Years"</formula>
    </cfRule>
    <cfRule type="expression" dxfId="514" priority="683">
      <formula>$L23="3 Years"</formula>
    </cfRule>
    <cfRule type="expression" dxfId="513" priority="682">
      <formula>AND($O23 &lt;&gt; "",$O23&lt;TODAY())</formula>
    </cfRule>
    <cfRule type="expression" dxfId="512" priority="686">
      <formula>$L23="365 Days"</formula>
    </cfRule>
  </conditionalFormatting>
  <conditionalFormatting sqref="N26">
    <cfRule type="expression" dxfId="511" priority="672">
      <formula>AND($O26 &lt;&gt; "",$O26&lt;TODAY())</formula>
    </cfRule>
    <cfRule type="expression" dxfId="510" priority="680">
      <formula>$L26="60 Days"</formula>
    </cfRule>
    <cfRule type="expression" dxfId="509" priority="679">
      <formula>$L26="90 Days"</formula>
    </cfRule>
    <cfRule type="expression" dxfId="508" priority="678">
      <formula>$L26="120 Days"</formula>
    </cfRule>
    <cfRule type="expression" dxfId="507" priority="677">
      <formula>$L26="180 Days"</formula>
    </cfRule>
    <cfRule type="expression" dxfId="506" priority="676">
      <formula>$L26="365 Days"</formula>
    </cfRule>
    <cfRule type="expression" dxfId="505" priority="675">
      <formula>$L26="18 Months"</formula>
    </cfRule>
    <cfRule type="expression" dxfId="504" priority="674">
      <formula>$L26="2 Years"</formula>
    </cfRule>
    <cfRule type="expression" dxfId="503" priority="673">
      <formula>$L26="3 Years"</formula>
    </cfRule>
    <cfRule type="expression" dxfId="502" priority="681">
      <formula>$L26="30 Days"</formula>
    </cfRule>
  </conditionalFormatting>
  <conditionalFormatting sqref="N28">
    <cfRule type="expression" dxfId="501" priority="667">
      <formula>$L28="180 Days"</formula>
    </cfRule>
    <cfRule type="expression" dxfId="500" priority="668">
      <formula>$L28="120 Days"</formula>
    </cfRule>
    <cfRule type="expression" dxfId="499" priority="670">
      <formula>$L28="60 Days"</formula>
    </cfRule>
    <cfRule type="expression" dxfId="498" priority="671">
      <formula>$L28="30 Days"</formula>
    </cfRule>
    <cfRule type="expression" dxfId="497" priority="662">
      <formula>AND($O28 &lt;&gt; "",$O28&lt;TODAY())</formula>
    </cfRule>
    <cfRule type="expression" dxfId="496" priority="669">
      <formula>$L28="90 Days"</formula>
    </cfRule>
    <cfRule type="expression" dxfId="495" priority="663">
      <formula>$L28="3 Years"</formula>
    </cfRule>
    <cfRule type="expression" dxfId="494" priority="664">
      <formula>$L28="2 Years"</formula>
    </cfRule>
    <cfRule type="expression" dxfId="493" priority="665">
      <formula>$L28="18 Months"</formula>
    </cfRule>
    <cfRule type="expression" dxfId="492" priority="666">
      <formula>$L28="365 Days"</formula>
    </cfRule>
  </conditionalFormatting>
  <conditionalFormatting sqref="N30">
    <cfRule type="expression" dxfId="491" priority="661">
      <formula>$L30="30 Days"</formula>
    </cfRule>
    <cfRule type="expression" dxfId="490" priority="660">
      <formula>$L30="60 Days"</formula>
    </cfRule>
    <cfRule type="expression" dxfId="489" priority="659">
      <formula>$L30="90 Days"</formula>
    </cfRule>
    <cfRule type="expression" dxfId="488" priority="658">
      <formula>$L30="120 Days"</formula>
    </cfRule>
    <cfRule type="expression" dxfId="487" priority="657">
      <formula>$L30="180 Days"</formula>
    </cfRule>
    <cfRule type="expression" dxfId="486" priority="656">
      <formula>$L30="365 Days"</formula>
    </cfRule>
    <cfRule type="expression" dxfId="485" priority="654">
      <formula>$L30="2 Years"</formula>
    </cfRule>
    <cfRule type="expression" dxfId="484" priority="653">
      <formula>$L30="3 Years"</formula>
    </cfRule>
    <cfRule type="expression" dxfId="483" priority="652">
      <formula>AND($O30 &lt;&gt; "",$O30&lt;TODAY())</formula>
    </cfRule>
    <cfRule type="expression" dxfId="482" priority="655">
      <formula>$L30="18 Months"</formula>
    </cfRule>
  </conditionalFormatting>
  <conditionalFormatting sqref="N32">
    <cfRule type="expression" dxfId="481" priority="651">
      <formula>$L32="30 Days"</formula>
    </cfRule>
    <cfRule type="expression" dxfId="480" priority="650">
      <formula>$L32="60 Days"</formula>
    </cfRule>
    <cfRule type="expression" dxfId="479" priority="649">
      <formula>$L32="90 Days"</formula>
    </cfRule>
    <cfRule type="expression" dxfId="478" priority="648">
      <formula>$L32="120 Days"</formula>
    </cfRule>
    <cfRule type="expression" dxfId="477" priority="647">
      <formula>$L32="180 Days"</formula>
    </cfRule>
    <cfRule type="expression" dxfId="476" priority="646">
      <formula>$L32="365 Days"</formula>
    </cfRule>
    <cfRule type="expression" dxfId="475" priority="642">
      <formula>AND($O32 &lt;&gt; "",$O32&lt;TODAY())</formula>
    </cfRule>
    <cfRule type="expression" dxfId="474" priority="643">
      <formula>$L32="3 Years"</formula>
    </cfRule>
    <cfRule type="expression" dxfId="473" priority="644">
      <formula>$L32="2 Years"</formula>
    </cfRule>
    <cfRule type="expression" dxfId="472" priority="645">
      <formula>$L32="18 Months"</formula>
    </cfRule>
  </conditionalFormatting>
  <conditionalFormatting sqref="N34">
    <cfRule type="expression" dxfId="471" priority="635">
      <formula>$L34="18 Months"</formula>
    </cfRule>
    <cfRule type="expression" dxfId="470" priority="634">
      <formula>$L34="2 Years"</formula>
    </cfRule>
    <cfRule type="expression" dxfId="469" priority="633">
      <formula>$L34="3 Years"</formula>
    </cfRule>
    <cfRule type="expression" dxfId="468" priority="632">
      <formula>AND($O34 &lt;&gt; "",$O34&lt;TODAY())</formula>
    </cfRule>
    <cfRule type="expression" dxfId="467" priority="637">
      <formula>$L34="180 Days"</formula>
    </cfRule>
    <cfRule type="expression" dxfId="466" priority="638">
      <formula>$L34="120 Days"</formula>
    </cfRule>
    <cfRule type="expression" dxfId="465" priority="639">
      <formula>$L34="90 Days"</formula>
    </cfRule>
    <cfRule type="expression" dxfId="464" priority="640">
      <formula>$L34="60 Days"</formula>
    </cfRule>
    <cfRule type="expression" dxfId="463" priority="636">
      <formula>$L34="365 Days"</formula>
    </cfRule>
    <cfRule type="expression" dxfId="462" priority="641">
      <formula>$L34="30 Days"</formula>
    </cfRule>
  </conditionalFormatting>
  <conditionalFormatting sqref="N36">
    <cfRule type="expression" dxfId="461" priority="631">
      <formula>$L36="30 Days"</formula>
    </cfRule>
    <cfRule type="expression" dxfId="460" priority="630">
      <formula>$L36="60 Days"</formula>
    </cfRule>
    <cfRule type="expression" dxfId="459" priority="629">
      <formula>$L36="90 Days"</formula>
    </cfRule>
    <cfRule type="expression" dxfId="458" priority="628">
      <formula>$L36="120 Days"</formula>
    </cfRule>
    <cfRule type="expression" dxfId="457" priority="627">
      <formula>$L36="180 Days"</formula>
    </cfRule>
    <cfRule type="expression" dxfId="456" priority="626">
      <formula>$L36="365 Days"</formula>
    </cfRule>
    <cfRule type="expression" dxfId="455" priority="625">
      <formula>$L36="18 Months"</formula>
    </cfRule>
    <cfRule type="expression" dxfId="454" priority="623">
      <formula>$L36="3 Years"</formula>
    </cfRule>
    <cfRule type="expression" dxfId="453" priority="622">
      <formula>AND($O36 &lt;&gt; "",$O36&lt;TODAY())</formula>
    </cfRule>
    <cfRule type="expression" dxfId="452" priority="624">
      <formula>$L36="2 Years"</formula>
    </cfRule>
  </conditionalFormatting>
  <conditionalFormatting sqref="N38">
    <cfRule type="expression" dxfId="451" priority="621">
      <formula>$L38="30 Days"</formula>
    </cfRule>
    <cfRule type="expression" dxfId="450" priority="620">
      <formula>$L38="60 Days"</formula>
    </cfRule>
    <cfRule type="expression" dxfId="449" priority="619">
      <formula>$L38="90 Days"</formula>
    </cfRule>
    <cfRule type="expression" dxfId="448" priority="618">
      <formula>$L38="120 Days"</formula>
    </cfRule>
    <cfRule type="expression" dxfId="447" priority="617">
      <formula>$L38="180 Days"</formula>
    </cfRule>
    <cfRule type="expression" dxfId="446" priority="616">
      <formula>$L38="365 Days"</formula>
    </cfRule>
    <cfRule type="expression" dxfId="445" priority="615">
      <formula>$L38="18 Months"</formula>
    </cfRule>
    <cfRule type="expression" dxfId="444" priority="614">
      <formula>$L38="2 Years"</formula>
    </cfRule>
    <cfRule type="expression" dxfId="443" priority="613">
      <formula>$L38="3 Years"</formula>
    </cfRule>
    <cfRule type="expression" dxfId="442" priority="612">
      <formula>AND($O38 &lt;&gt; "",$O38&lt;TODAY())</formula>
    </cfRule>
  </conditionalFormatting>
  <conditionalFormatting sqref="N41">
    <cfRule type="expression" dxfId="441" priority="611">
      <formula>$L41="30 Days"</formula>
    </cfRule>
    <cfRule type="expression" dxfId="440" priority="610">
      <formula>$L41="60 Days"</formula>
    </cfRule>
    <cfRule type="expression" dxfId="439" priority="609">
      <formula>$L41="90 Days"</formula>
    </cfRule>
    <cfRule type="expression" dxfId="438" priority="608">
      <formula>$L41="120 Days"</formula>
    </cfRule>
    <cfRule type="expression" dxfId="437" priority="607">
      <formula>$L41="180 Days"</formula>
    </cfRule>
    <cfRule type="expression" dxfId="436" priority="606">
      <formula>$L41="365 Days"</formula>
    </cfRule>
    <cfRule type="expression" dxfId="435" priority="605">
      <formula>$L41="18 Months"</formula>
    </cfRule>
    <cfRule type="expression" dxfId="434" priority="604">
      <formula>$L41="2 Years"</formula>
    </cfRule>
    <cfRule type="expression" dxfId="433" priority="603">
      <formula>$L41="3 Years"</formula>
    </cfRule>
    <cfRule type="expression" dxfId="432" priority="602">
      <formula>AND($O41 &lt;&gt; "",$O41&lt;TODAY())</formula>
    </cfRule>
  </conditionalFormatting>
  <conditionalFormatting sqref="N43:N44">
    <cfRule type="expression" dxfId="431" priority="591">
      <formula>$L43="30 Days"</formula>
    </cfRule>
    <cfRule type="expression" dxfId="430" priority="590">
      <formula>$L43="60 Days"</formula>
    </cfRule>
    <cfRule type="expression" dxfId="429" priority="589">
      <formula>$L43="90 Days"</formula>
    </cfRule>
    <cfRule type="expression" dxfId="428" priority="588">
      <formula>$L43="120 Days"</formula>
    </cfRule>
    <cfRule type="expression" dxfId="427" priority="587">
      <formula>$L43="180 Days"</formula>
    </cfRule>
    <cfRule type="expression" dxfId="426" priority="586">
      <formula>$L43="365 Days"</formula>
    </cfRule>
    <cfRule type="expression" dxfId="425" priority="584">
      <formula>$L43="2 Years"</formula>
    </cfRule>
    <cfRule type="expression" dxfId="424" priority="583">
      <formula>$L43="3 Years"</formula>
    </cfRule>
    <cfRule type="expression" dxfId="423" priority="582">
      <formula>AND($O43 &lt;&gt; "",$O43&lt;TODAY())</formula>
    </cfRule>
    <cfRule type="expression" dxfId="422" priority="585">
      <formula>$L43="18 Months"</formula>
    </cfRule>
  </conditionalFormatting>
  <conditionalFormatting sqref="N46:N47">
    <cfRule type="expression" dxfId="421" priority="567">
      <formula>$L46="180 Days"</formula>
    </cfRule>
    <cfRule type="expression" dxfId="420" priority="571">
      <formula>$L46="30 Days"</formula>
    </cfRule>
    <cfRule type="expression" dxfId="419" priority="570">
      <formula>$L46="60 Days"</formula>
    </cfRule>
    <cfRule type="expression" dxfId="418" priority="568">
      <formula>$L46="120 Days"</formula>
    </cfRule>
    <cfRule type="expression" dxfId="417" priority="566">
      <formula>$L46="365 Days"</formula>
    </cfRule>
    <cfRule type="expression" dxfId="416" priority="565">
      <formula>$L46="18 Months"</formula>
    </cfRule>
    <cfRule type="expression" dxfId="415" priority="564">
      <formula>$L46="2 Years"</formula>
    </cfRule>
    <cfRule type="expression" dxfId="414" priority="562">
      <formula>AND($O46 &lt;&gt; "",$O46&lt;TODAY())</formula>
    </cfRule>
    <cfRule type="expression" dxfId="413" priority="569">
      <formula>$L46="90 Days"</formula>
    </cfRule>
    <cfRule type="expression" dxfId="412" priority="563">
      <formula>$L46="3 Years"</formula>
    </cfRule>
  </conditionalFormatting>
  <conditionalFormatting sqref="N50:N53">
    <cfRule type="expression" dxfId="411" priority="531">
      <formula>$L50="30 Days"</formula>
    </cfRule>
    <cfRule type="expression" dxfId="410" priority="530">
      <formula>$L50="60 Days"</formula>
    </cfRule>
    <cfRule type="expression" dxfId="409" priority="529">
      <formula>$L50="90 Days"</formula>
    </cfRule>
    <cfRule type="expression" dxfId="408" priority="528">
      <formula>$L50="120 Days"</formula>
    </cfRule>
    <cfRule type="expression" dxfId="407" priority="527">
      <formula>$L50="180 Days"</formula>
    </cfRule>
    <cfRule type="expression" dxfId="406" priority="526">
      <formula>$L50="365 Days"</formula>
    </cfRule>
    <cfRule type="expression" dxfId="405" priority="525">
      <formula>$L50="18 Months"</formula>
    </cfRule>
    <cfRule type="expression" dxfId="404" priority="524">
      <formula>$L50="2 Years"</formula>
    </cfRule>
    <cfRule type="expression" dxfId="403" priority="523">
      <formula>$L50="3 Years"</formula>
    </cfRule>
    <cfRule type="expression" dxfId="402" priority="522">
      <formula>AND($O50 &lt;&gt; "",$O50&lt;TODAY())</formula>
    </cfRule>
  </conditionalFormatting>
  <conditionalFormatting sqref="N56:N57">
    <cfRule type="expression" dxfId="401" priority="502">
      <formula>AND($O56 &lt;&gt; "",$O56&lt;TODAY())</formula>
    </cfRule>
    <cfRule type="expression" dxfId="400" priority="508">
      <formula>$L56="120 Days"</formula>
    </cfRule>
    <cfRule type="expression" dxfId="399" priority="503">
      <formula>$L56="3 Years"</formula>
    </cfRule>
    <cfRule type="expression" dxfId="398" priority="504">
      <formula>$L56="2 Years"</formula>
    </cfRule>
    <cfRule type="expression" dxfId="397" priority="505">
      <formula>$L56="18 Months"</formula>
    </cfRule>
    <cfRule type="expression" dxfId="396" priority="506">
      <formula>$L56="365 Days"</formula>
    </cfRule>
    <cfRule type="expression" dxfId="395" priority="507">
      <formula>$L56="180 Days"</formula>
    </cfRule>
    <cfRule type="expression" dxfId="394" priority="511">
      <formula>$L56="30 Days"</formula>
    </cfRule>
    <cfRule type="expression" dxfId="393" priority="509">
      <formula>$L56="90 Days"</formula>
    </cfRule>
    <cfRule type="expression" dxfId="392" priority="510">
      <formula>$L56="60 Days"</formula>
    </cfRule>
  </conditionalFormatting>
  <conditionalFormatting sqref="N62">
    <cfRule type="expression" dxfId="391" priority="500">
      <formula>$L62="60 Days"</formula>
    </cfRule>
    <cfRule type="expression" dxfId="390" priority="499">
      <formula>$L62="90 Days"</formula>
    </cfRule>
    <cfRule type="expression" dxfId="389" priority="498">
      <formula>$L62="120 Days"</formula>
    </cfRule>
    <cfRule type="expression" dxfId="388" priority="497">
      <formula>$L62="180 Days"</formula>
    </cfRule>
    <cfRule type="expression" dxfId="387" priority="496">
      <formula>$L62="365 Days"</formula>
    </cfRule>
    <cfRule type="expression" dxfId="386" priority="495">
      <formula>$L62="18 Months"</formula>
    </cfRule>
    <cfRule type="expression" dxfId="385" priority="494">
      <formula>$L62="2 Years"</formula>
    </cfRule>
    <cfRule type="expression" dxfId="384" priority="493">
      <formula>$L62="3 Years"</formula>
    </cfRule>
    <cfRule type="expression" dxfId="383" priority="492">
      <formula>AND($O62 &lt;&gt; "",$O62&lt;TODAY())</formula>
    </cfRule>
    <cfRule type="expression" dxfId="382" priority="501">
      <formula>$L62="30 Days"</formula>
    </cfRule>
  </conditionalFormatting>
  <conditionalFormatting sqref="N66">
    <cfRule type="expression" dxfId="381" priority="491">
      <formula>$L66="30 Days"</formula>
    </cfRule>
    <cfRule type="expression" dxfId="380" priority="485">
      <formula>$L66="18 Months"</formula>
    </cfRule>
    <cfRule type="expression" dxfId="379" priority="482">
      <formula>AND($O66 &lt;&gt; "",$O66&lt;TODAY())</formula>
    </cfRule>
    <cfRule type="expression" dxfId="378" priority="483">
      <formula>$L66="3 Years"</formula>
    </cfRule>
    <cfRule type="expression" dxfId="377" priority="484">
      <formula>$L66="2 Years"</formula>
    </cfRule>
    <cfRule type="expression" dxfId="376" priority="486">
      <formula>$L66="365 Days"</formula>
    </cfRule>
    <cfRule type="expression" dxfId="375" priority="487">
      <formula>$L66="180 Days"</formula>
    </cfRule>
    <cfRule type="expression" dxfId="374" priority="488">
      <formula>$L66="120 Days"</formula>
    </cfRule>
    <cfRule type="expression" dxfId="373" priority="489">
      <formula>$L66="90 Days"</formula>
    </cfRule>
    <cfRule type="expression" dxfId="372" priority="490">
      <formula>$L66="60 Days"</formula>
    </cfRule>
  </conditionalFormatting>
  <conditionalFormatting sqref="N73">
    <cfRule type="expression" dxfId="371" priority="480">
      <formula>$L73="60 Days"</formula>
    </cfRule>
    <cfRule type="expression" dxfId="370" priority="479">
      <formula>$L73="90 Days"</formula>
    </cfRule>
    <cfRule type="expression" dxfId="369" priority="478">
      <formula>$L73="120 Days"</formula>
    </cfRule>
    <cfRule type="expression" dxfId="368" priority="477">
      <formula>$L73="180 Days"</formula>
    </cfRule>
    <cfRule type="expression" dxfId="367" priority="476">
      <formula>$L73="365 Days"</formula>
    </cfRule>
    <cfRule type="expression" dxfId="366" priority="475">
      <formula>$L73="18 Months"</formula>
    </cfRule>
    <cfRule type="expression" dxfId="365" priority="474">
      <formula>$L73="2 Years"</formula>
    </cfRule>
    <cfRule type="expression" dxfId="364" priority="473">
      <formula>$L73="3 Years"</formula>
    </cfRule>
    <cfRule type="expression" dxfId="363" priority="472">
      <formula>AND($O73 &lt;&gt; "",$O73&lt;TODAY())</formula>
    </cfRule>
    <cfRule type="expression" dxfId="362" priority="481">
      <formula>$L73="30 Days"</formula>
    </cfRule>
  </conditionalFormatting>
  <conditionalFormatting sqref="N75:N78">
    <cfRule type="expression" dxfId="361" priority="470">
      <formula>$L75="60 Days"</formula>
    </cfRule>
    <cfRule type="expression" dxfId="360" priority="469">
      <formula>$L75="90 Days"</formula>
    </cfRule>
    <cfRule type="expression" dxfId="359" priority="468">
      <formula>$L75="120 Days"</formula>
    </cfRule>
    <cfRule type="expression" dxfId="358" priority="462">
      <formula>AND($O75 &lt;&gt; "",$O75&lt;TODAY())</formula>
    </cfRule>
    <cfRule type="expression" dxfId="357" priority="467">
      <formula>$L75="180 Days"</formula>
    </cfRule>
    <cfRule type="expression" dxfId="356" priority="466">
      <formula>$L75="365 Days"</formula>
    </cfRule>
    <cfRule type="expression" dxfId="355" priority="465">
      <formula>$L75="18 Months"</formula>
    </cfRule>
    <cfRule type="expression" dxfId="354" priority="464">
      <formula>$L75="2 Years"</formula>
    </cfRule>
    <cfRule type="expression" dxfId="353" priority="463">
      <formula>$L75="3 Years"</formula>
    </cfRule>
    <cfRule type="expression" dxfId="352" priority="471">
      <formula>$L75="30 Days"</formula>
    </cfRule>
  </conditionalFormatting>
  <conditionalFormatting sqref="N80:N81">
    <cfRule type="expression" dxfId="351" priority="450">
      <formula>$L80="60 Days"</formula>
    </cfRule>
    <cfRule type="expression" dxfId="350" priority="449">
      <formula>$L80="90 Days"</formula>
    </cfRule>
    <cfRule type="expression" dxfId="349" priority="448">
      <formula>$L80="120 Days"</formula>
    </cfRule>
    <cfRule type="expression" dxfId="348" priority="447">
      <formula>$L80="180 Days"</formula>
    </cfRule>
    <cfRule type="expression" dxfId="347" priority="451">
      <formula>$L80="30 Days"</formula>
    </cfRule>
    <cfRule type="expression" dxfId="346" priority="445">
      <formula>$L80="18 Months"</formula>
    </cfRule>
    <cfRule type="expression" dxfId="345" priority="444">
      <formula>$L80="2 Years"</formula>
    </cfRule>
    <cfRule type="expression" dxfId="344" priority="443">
      <formula>$L80="3 Years"</formula>
    </cfRule>
    <cfRule type="expression" dxfId="343" priority="442">
      <formula>AND($O80 &lt;&gt; "",$O80&lt;TODAY())</formula>
    </cfRule>
    <cfRule type="expression" dxfId="342" priority="446">
      <formula>$L80="365 Days"</formula>
    </cfRule>
  </conditionalFormatting>
  <conditionalFormatting sqref="N85">
    <cfRule type="expression" dxfId="341" priority="432">
      <formula>AND($O85 &lt;&gt; "",$O85&lt;TODAY())</formula>
    </cfRule>
    <cfRule type="expression" dxfId="340" priority="433">
      <formula>$L85="3 Years"</formula>
    </cfRule>
    <cfRule type="expression" dxfId="339" priority="434">
      <formula>$L85="2 Years"</formula>
    </cfRule>
    <cfRule type="expression" dxfId="338" priority="435">
      <formula>$L85="18 Months"</formula>
    </cfRule>
    <cfRule type="expression" dxfId="337" priority="436">
      <formula>$L85="365 Days"</formula>
    </cfRule>
    <cfRule type="expression" dxfId="336" priority="437">
      <formula>$L85="180 Days"</formula>
    </cfRule>
    <cfRule type="expression" dxfId="335" priority="438">
      <formula>$L85="120 Days"</formula>
    </cfRule>
    <cfRule type="expression" dxfId="334" priority="439">
      <formula>$L85="90 Days"</formula>
    </cfRule>
    <cfRule type="expression" dxfId="333" priority="440">
      <formula>$L85="60 Days"</formula>
    </cfRule>
    <cfRule type="expression" dxfId="332" priority="441">
      <formula>$L85="30 Days"</formula>
    </cfRule>
  </conditionalFormatting>
  <conditionalFormatting sqref="N87">
    <cfRule type="expression" dxfId="331" priority="425">
      <formula>$L87="18 Months"</formula>
    </cfRule>
    <cfRule type="expression" dxfId="330" priority="424">
      <formula>$L87="2 Years"</formula>
    </cfRule>
    <cfRule type="expression" dxfId="329" priority="426">
      <formula>$L87="365 Days"</formula>
    </cfRule>
    <cfRule type="expression" dxfId="328" priority="427">
      <formula>$L87="180 Days"</formula>
    </cfRule>
    <cfRule type="expression" dxfId="327" priority="428">
      <formula>$L87="120 Days"</formula>
    </cfRule>
    <cfRule type="expression" dxfId="326" priority="429">
      <formula>$L87="90 Days"</formula>
    </cfRule>
    <cfRule type="expression" dxfId="325" priority="430">
      <formula>$L87="60 Days"</formula>
    </cfRule>
    <cfRule type="expression" dxfId="324" priority="431">
      <formula>$L87="30 Days"</formula>
    </cfRule>
    <cfRule type="expression" dxfId="323" priority="422">
      <formula>AND($O87 &lt;&gt; "",$O87&lt;TODAY())</formula>
    </cfRule>
    <cfRule type="expression" dxfId="322" priority="423">
      <formula>$L87="3 Years"</formula>
    </cfRule>
  </conditionalFormatting>
  <conditionalFormatting sqref="N92">
    <cfRule type="expression" dxfId="321" priority="420">
      <formula>$L92="60 Days"</formula>
    </cfRule>
    <cfRule type="expression" dxfId="320" priority="419">
      <formula>$L92="90 Days"</formula>
    </cfRule>
    <cfRule type="expression" dxfId="319" priority="418">
      <formula>$L92="120 Days"</formula>
    </cfRule>
    <cfRule type="expression" dxfId="318" priority="417">
      <formula>$L92="180 Days"</formula>
    </cfRule>
    <cfRule type="expression" dxfId="317" priority="416">
      <formula>$L92="365 Days"</formula>
    </cfRule>
    <cfRule type="expression" dxfId="316" priority="415">
      <formula>$L92="18 Months"</formula>
    </cfRule>
    <cfRule type="expression" dxfId="315" priority="414">
      <formula>$L92="2 Years"</formula>
    </cfRule>
    <cfRule type="expression" dxfId="314" priority="413">
      <formula>$L92="3 Years"</formula>
    </cfRule>
    <cfRule type="expression" dxfId="313" priority="412">
      <formula>AND($O92 &lt;&gt; "",$O92&lt;TODAY())</formula>
    </cfRule>
    <cfRule type="expression" dxfId="312" priority="421">
      <formula>$L92="30 Days"</formula>
    </cfRule>
  </conditionalFormatting>
  <conditionalFormatting sqref="N94">
    <cfRule type="expression" dxfId="311" priority="411">
      <formula>$L94="30 Days"</formula>
    </cfRule>
    <cfRule type="expression" dxfId="310" priority="402">
      <formula>AND($O94 &lt;&gt; "",$O94&lt;TODAY())</formula>
    </cfRule>
    <cfRule type="expression" dxfId="309" priority="403">
      <formula>$L94="3 Years"</formula>
    </cfRule>
    <cfRule type="expression" dxfId="308" priority="404">
      <formula>$L94="2 Years"</formula>
    </cfRule>
    <cfRule type="expression" dxfId="307" priority="405">
      <formula>$L94="18 Months"</formula>
    </cfRule>
    <cfRule type="expression" dxfId="306" priority="406">
      <formula>$L94="365 Days"</formula>
    </cfRule>
    <cfRule type="expression" dxfId="305" priority="407">
      <formula>$L94="180 Days"</formula>
    </cfRule>
    <cfRule type="expression" dxfId="304" priority="408">
      <formula>$L94="120 Days"</formula>
    </cfRule>
    <cfRule type="expression" dxfId="303" priority="409">
      <formula>$L94="90 Days"</formula>
    </cfRule>
    <cfRule type="expression" dxfId="302" priority="410">
      <formula>$L94="60 Days"</formula>
    </cfRule>
  </conditionalFormatting>
  <conditionalFormatting sqref="N97">
    <cfRule type="expression" dxfId="301" priority="400">
      <formula>$L97="60 Days"</formula>
    </cfRule>
    <cfRule type="expression" dxfId="300" priority="399">
      <formula>$L97="90 Days"</formula>
    </cfRule>
    <cfRule type="expression" dxfId="299" priority="398">
      <formula>$L97="120 Days"</formula>
    </cfRule>
    <cfRule type="expression" dxfId="298" priority="397">
      <formula>$L97="180 Days"</formula>
    </cfRule>
    <cfRule type="expression" dxfId="297" priority="396">
      <formula>$L97="365 Days"</formula>
    </cfRule>
    <cfRule type="expression" dxfId="296" priority="395">
      <formula>$L97="18 Months"</formula>
    </cfRule>
    <cfRule type="expression" dxfId="295" priority="394">
      <formula>$L97="2 Years"</formula>
    </cfRule>
    <cfRule type="expression" dxfId="294" priority="393">
      <formula>$L97="3 Years"</formula>
    </cfRule>
    <cfRule type="expression" dxfId="293" priority="392">
      <formula>AND($O97 &lt;&gt; "",$O97&lt;TODAY())</formula>
    </cfRule>
    <cfRule type="expression" dxfId="292" priority="401">
      <formula>$L97="30 Days"</formula>
    </cfRule>
  </conditionalFormatting>
  <conditionalFormatting sqref="N100:N101">
    <cfRule type="expression" dxfId="291" priority="381">
      <formula>$L100="30 Days"</formula>
    </cfRule>
    <cfRule type="expression" dxfId="290" priority="380">
      <formula>$L100="60 Days"</formula>
    </cfRule>
    <cfRule type="expression" dxfId="289" priority="379">
      <formula>$L100="90 Days"</formula>
    </cfRule>
    <cfRule type="expression" dxfId="288" priority="378">
      <formula>$L100="120 Days"</formula>
    </cfRule>
    <cfRule type="expression" dxfId="287" priority="377">
      <formula>$L100="180 Days"</formula>
    </cfRule>
    <cfRule type="expression" dxfId="286" priority="376">
      <formula>$L100="365 Days"</formula>
    </cfRule>
    <cfRule type="expression" dxfId="285" priority="375">
      <formula>$L100="18 Months"</formula>
    </cfRule>
    <cfRule type="expression" dxfId="284" priority="374">
      <formula>$L100="2 Years"</formula>
    </cfRule>
    <cfRule type="expression" dxfId="283" priority="373">
      <formula>$L100="3 Years"</formula>
    </cfRule>
    <cfRule type="expression" dxfId="282" priority="372">
      <formula>AND($O100 &lt;&gt; "",$O100&lt;TODAY())</formula>
    </cfRule>
    <cfRule type="expression" dxfId="281" priority="391">
      <formula>$L100="30 Days"</formula>
    </cfRule>
    <cfRule type="expression" dxfId="280" priority="390">
      <formula>$L100="60 Days"</formula>
    </cfRule>
    <cfRule type="expression" dxfId="279" priority="389">
      <formula>$L100="90 Days"</formula>
    </cfRule>
    <cfRule type="expression" dxfId="278" priority="388">
      <formula>$L100="120 Days"</formula>
    </cfRule>
    <cfRule type="expression" dxfId="277" priority="387">
      <formula>$L100="180 Days"</formula>
    </cfRule>
    <cfRule type="expression" dxfId="276" priority="386">
      <formula>$L100="365 Days"</formula>
    </cfRule>
    <cfRule type="expression" dxfId="275" priority="385">
      <formula>$L100="18 Months"</formula>
    </cfRule>
    <cfRule type="expression" dxfId="274" priority="384">
      <formula>$L100="2 Years"</formula>
    </cfRule>
    <cfRule type="expression" dxfId="273" priority="383">
      <formula>$L100="3 Years"</formula>
    </cfRule>
    <cfRule type="expression" dxfId="272" priority="382">
      <formula>AND($O100 &lt;&gt; "",$O100&lt;TODAY())</formula>
    </cfRule>
  </conditionalFormatting>
  <conditionalFormatting sqref="N105">
    <cfRule type="expression" dxfId="271" priority="371">
      <formula>$L105="30 Days"</formula>
    </cfRule>
    <cfRule type="expression" dxfId="270" priority="370">
      <formula>$L105="60 Days"</formula>
    </cfRule>
    <cfRule type="expression" dxfId="269" priority="369">
      <formula>$L105="90 Days"</formula>
    </cfRule>
    <cfRule type="expression" dxfId="268" priority="368">
      <formula>$L105="120 Days"</formula>
    </cfRule>
    <cfRule type="expression" dxfId="267" priority="367">
      <formula>$L105="180 Days"</formula>
    </cfRule>
    <cfRule type="expression" dxfId="266" priority="366">
      <formula>$L105="365 Days"</formula>
    </cfRule>
    <cfRule type="expression" dxfId="265" priority="365">
      <formula>$L105="18 Months"</formula>
    </cfRule>
    <cfRule type="expression" dxfId="264" priority="364">
      <formula>$L105="2 Years"</formula>
    </cfRule>
    <cfRule type="expression" dxfId="263" priority="363">
      <formula>$L105="3 Years"</formula>
    </cfRule>
    <cfRule type="expression" dxfId="262" priority="362">
      <formula>AND($O105 &lt;&gt; "",$O105&lt;TODAY())</formula>
    </cfRule>
  </conditionalFormatting>
  <conditionalFormatting sqref="N105:N106">
    <cfRule type="expression" dxfId="261" priority="351">
      <formula>$L105="30 Days"</formula>
    </cfRule>
    <cfRule type="expression" dxfId="260" priority="350">
      <formula>$L105="60 Days"</formula>
    </cfRule>
    <cfRule type="expression" dxfId="259" priority="349">
      <formula>$L105="90 Days"</formula>
    </cfRule>
    <cfRule type="expression" dxfId="258" priority="348">
      <formula>$L105="120 Days"</formula>
    </cfRule>
    <cfRule type="expression" dxfId="257" priority="347">
      <formula>$L105="180 Days"</formula>
    </cfRule>
    <cfRule type="expression" dxfId="256" priority="346">
      <formula>$L105="365 Days"</formula>
    </cfRule>
    <cfRule type="expression" dxfId="255" priority="344">
      <formula>$L105="2 Years"</formula>
    </cfRule>
    <cfRule type="expression" dxfId="254" priority="343">
      <formula>$L105="3 Years"</formula>
    </cfRule>
    <cfRule type="expression" dxfId="253" priority="342">
      <formula>AND($O105 &lt;&gt; "",$O105&lt;TODAY())</formula>
    </cfRule>
    <cfRule type="expression" dxfId="252" priority="345">
      <formula>$L105="18 Months"</formula>
    </cfRule>
  </conditionalFormatting>
  <conditionalFormatting sqref="N106">
    <cfRule type="expression" dxfId="251" priority="337">
      <formula>$L106="180 Days"</formula>
    </cfRule>
    <cfRule type="expression" dxfId="250" priority="341">
      <formula>$L106="30 Days"</formula>
    </cfRule>
    <cfRule type="expression" dxfId="249" priority="340">
      <formula>$L106="60 Days"</formula>
    </cfRule>
    <cfRule type="expression" dxfId="248" priority="339">
      <formula>$L106="90 Days"</formula>
    </cfRule>
    <cfRule type="expression" dxfId="247" priority="338">
      <formula>$L106="120 Days"</formula>
    </cfRule>
    <cfRule type="expression" dxfId="246" priority="336">
      <formula>$L106="365 Days"</formula>
    </cfRule>
    <cfRule type="expression" dxfId="245" priority="335">
      <formula>$L106="18 Months"</formula>
    </cfRule>
    <cfRule type="expression" dxfId="244" priority="334">
      <formula>$L106="2 Years"</formula>
    </cfRule>
    <cfRule type="expression" dxfId="243" priority="332">
      <formula>AND($O106 &lt;&gt; "",$O106&lt;TODAY())</formula>
    </cfRule>
    <cfRule type="expression" dxfId="242" priority="333">
      <formula>$L106="3 Years"</formula>
    </cfRule>
  </conditionalFormatting>
  <conditionalFormatting sqref="N110">
    <cfRule type="expression" dxfId="241" priority="321">
      <formula>$L110="30 Days"</formula>
    </cfRule>
    <cfRule type="expression" dxfId="240" priority="320">
      <formula>$L110="60 Days"</formula>
    </cfRule>
    <cfRule type="expression" dxfId="239" priority="319">
      <formula>$L110="90 Days"</formula>
    </cfRule>
    <cfRule type="expression" dxfId="238" priority="318">
      <formula>$L110="120 Days"</formula>
    </cfRule>
    <cfRule type="expression" dxfId="237" priority="317">
      <formula>$L110="180 Days"</formula>
    </cfRule>
    <cfRule type="expression" dxfId="236" priority="316">
      <formula>$L110="365 Days"</formula>
    </cfRule>
    <cfRule type="expression" dxfId="235" priority="315">
      <formula>$L110="18 Months"</formula>
    </cfRule>
    <cfRule type="expression" dxfId="234" priority="314">
      <formula>$L110="2 Years"</formula>
    </cfRule>
    <cfRule type="expression" dxfId="233" priority="313">
      <formula>$L110="3 Years"</formula>
    </cfRule>
    <cfRule type="expression" dxfId="232" priority="312">
      <formula>AND($O110 &lt;&gt; "",$O110&lt;TODAY())</formula>
    </cfRule>
    <cfRule type="expression" dxfId="231" priority="331">
      <formula>$L110="30 Days"</formula>
    </cfRule>
    <cfRule type="expression" dxfId="230" priority="330">
      <formula>$L110="60 Days"</formula>
    </cfRule>
    <cfRule type="expression" dxfId="229" priority="329">
      <formula>$L110="90 Days"</formula>
    </cfRule>
    <cfRule type="expression" dxfId="228" priority="328">
      <formula>$L110="120 Days"</formula>
    </cfRule>
    <cfRule type="expression" dxfId="227" priority="327">
      <formula>$L110="180 Days"</formula>
    </cfRule>
    <cfRule type="expression" dxfId="226" priority="326">
      <formula>$L110="365 Days"</formula>
    </cfRule>
    <cfRule type="expression" dxfId="225" priority="325">
      <formula>$L110="18 Months"</formula>
    </cfRule>
    <cfRule type="expression" dxfId="224" priority="324">
      <formula>$L110="2 Years"</formula>
    </cfRule>
    <cfRule type="expression" dxfId="223" priority="323">
      <formula>$L110="3 Years"</formula>
    </cfRule>
    <cfRule type="expression" dxfId="222" priority="322">
      <formula>AND($O110 &lt;&gt; "",$O110&lt;TODAY())</formula>
    </cfRule>
  </conditionalFormatting>
  <conditionalFormatting sqref="N112">
    <cfRule type="expression" dxfId="221" priority="301">
      <formula>$L112="30 Days"</formula>
    </cfRule>
    <cfRule type="expression" dxfId="220" priority="300">
      <formula>$L112="60 Days"</formula>
    </cfRule>
    <cfRule type="expression" dxfId="219" priority="299">
      <formula>$L112="90 Days"</formula>
    </cfRule>
    <cfRule type="expression" dxfId="218" priority="298">
      <formula>$L112="120 Days"</formula>
    </cfRule>
    <cfRule type="expression" dxfId="217" priority="297">
      <formula>$L112="180 Days"</formula>
    </cfRule>
    <cfRule type="expression" dxfId="216" priority="296">
      <formula>$L112="365 Days"</formula>
    </cfRule>
    <cfRule type="expression" dxfId="215" priority="295">
      <formula>$L112="18 Months"</formula>
    </cfRule>
    <cfRule type="expression" dxfId="214" priority="294">
      <formula>$L112="2 Years"</formula>
    </cfRule>
    <cfRule type="expression" dxfId="213" priority="293">
      <formula>$L112="3 Years"</formula>
    </cfRule>
    <cfRule type="expression" dxfId="212" priority="311">
      <formula>$L112="30 Days"</formula>
    </cfRule>
    <cfRule type="expression" dxfId="211" priority="292">
      <formula>AND($O112 &lt;&gt; "",$O112&lt;TODAY())</formula>
    </cfRule>
    <cfRule type="expression" dxfId="210" priority="307">
      <formula>$L112="180 Days"</formula>
    </cfRule>
    <cfRule type="expression" dxfId="209" priority="310">
      <formula>$L112="60 Days"</formula>
    </cfRule>
    <cfRule type="expression" dxfId="208" priority="309">
      <formula>$L112="90 Days"</formula>
    </cfRule>
    <cfRule type="expression" dxfId="207" priority="308">
      <formula>$L112="120 Days"</formula>
    </cfRule>
    <cfRule type="expression" dxfId="206" priority="306">
      <formula>$L112="365 Days"</formula>
    </cfRule>
    <cfRule type="expression" dxfId="205" priority="305">
      <formula>$L112="18 Months"</formula>
    </cfRule>
    <cfRule type="expression" dxfId="204" priority="304">
      <formula>$L112="2 Years"</formula>
    </cfRule>
    <cfRule type="expression" dxfId="203" priority="303">
      <formula>$L112="3 Years"</formula>
    </cfRule>
    <cfRule type="expression" dxfId="202" priority="302">
      <formula>AND($O112 &lt;&gt; "",$O112&lt;TODAY())</formula>
    </cfRule>
  </conditionalFormatting>
  <conditionalFormatting sqref="N115">
    <cfRule type="expression" dxfId="201" priority="291">
      <formula>$L115="30 Days"</formula>
    </cfRule>
    <cfRule type="expression" dxfId="200" priority="290">
      <formula>$L115="60 Days"</formula>
    </cfRule>
    <cfRule type="expression" dxfId="199" priority="289">
      <formula>$L115="90 Days"</formula>
    </cfRule>
    <cfRule type="expression" dxfId="198" priority="288">
      <formula>$L115="120 Days"</formula>
    </cfRule>
    <cfRule type="expression" dxfId="197" priority="287">
      <formula>$L115="180 Days"</formula>
    </cfRule>
    <cfRule type="expression" dxfId="196" priority="286">
      <formula>$L115="365 Days"</formula>
    </cfRule>
    <cfRule type="expression" dxfId="195" priority="285">
      <formula>$L115="18 Months"</formula>
    </cfRule>
    <cfRule type="expression" dxfId="194" priority="284">
      <formula>$L115="2 Years"</formula>
    </cfRule>
    <cfRule type="expression" dxfId="193" priority="283">
      <formula>$L115="3 Years"</formula>
    </cfRule>
    <cfRule type="expression" dxfId="192" priority="282">
      <formula>AND($O115 &lt;&gt; "",$O115&lt;TODAY())</formula>
    </cfRule>
  </conditionalFormatting>
  <conditionalFormatting sqref="N115:N116">
    <cfRule type="expression" dxfId="191" priority="270">
      <formula>$L115="60 Days"</formula>
    </cfRule>
    <cfRule type="expression" dxfId="190" priority="269">
      <formula>$L115="90 Days"</formula>
    </cfRule>
    <cfRule type="expression" dxfId="189" priority="268">
      <formula>$L115="120 Days"</formula>
    </cfRule>
    <cfRule type="expression" dxfId="188" priority="267">
      <formula>$L115="180 Days"</formula>
    </cfRule>
    <cfRule type="expression" dxfId="187" priority="262">
      <formula>AND($O115 &lt;&gt; "",$O115&lt;TODAY())</formula>
    </cfRule>
    <cfRule type="expression" dxfId="186" priority="266">
      <formula>$L115="365 Days"</formula>
    </cfRule>
    <cfRule type="expression" dxfId="185" priority="265">
      <formula>$L115="18 Months"</formula>
    </cfRule>
    <cfRule type="expression" dxfId="184" priority="264">
      <formula>$L115="2 Years"</formula>
    </cfRule>
    <cfRule type="expression" dxfId="183" priority="263">
      <formula>$L115="3 Years"</formula>
    </cfRule>
    <cfRule type="expression" dxfId="182" priority="271">
      <formula>$L115="30 Days"</formula>
    </cfRule>
  </conditionalFormatting>
  <conditionalFormatting sqref="N116">
    <cfRule type="expression" dxfId="181" priority="260">
      <formula>$L116="60 Days"</formula>
    </cfRule>
    <cfRule type="expression" dxfId="180" priority="259">
      <formula>$L116="90 Days"</formula>
    </cfRule>
    <cfRule type="expression" dxfId="179" priority="258">
      <formula>$L116="120 Days"</formula>
    </cfRule>
    <cfRule type="expression" dxfId="178" priority="257">
      <formula>$L116="180 Days"</formula>
    </cfRule>
    <cfRule type="expression" dxfId="177" priority="256">
      <formula>$L116="365 Days"</formula>
    </cfRule>
    <cfRule type="expression" dxfId="176" priority="255">
      <formula>$L116="18 Months"</formula>
    </cfRule>
    <cfRule type="expression" dxfId="175" priority="261">
      <formula>$L116="30 Days"</formula>
    </cfRule>
    <cfRule type="expression" dxfId="174" priority="253">
      <formula>$L116="3 Years"</formula>
    </cfRule>
    <cfRule type="expression" dxfId="173" priority="252">
      <formula>AND($O116 &lt;&gt; "",$O116&lt;TODAY())</formula>
    </cfRule>
    <cfRule type="expression" dxfId="172" priority="254">
      <formula>$L116="2 Years"</formula>
    </cfRule>
  </conditionalFormatting>
  <conditionalFormatting sqref="N118">
    <cfRule type="expression" dxfId="171" priority="241">
      <formula>$L118="30 Days"</formula>
    </cfRule>
    <cfRule type="expression" dxfId="170" priority="240">
      <formula>$L118="60 Days"</formula>
    </cfRule>
    <cfRule type="expression" dxfId="169" priority="239">
      <formula>$L118="90 Days"</formula>
    </cfRule>
    <cfRule type="expression" dxfId="168" priority="238">
      <formula>$L118="120 Days"</formula>
    </cfRule>
    <cfRule type="expression" dxfId="167" priority="237">
      <formula>$L118="180 Days"</formula>
    </cfRule>
    <cfRule type="expression" dxfId="166" priority="236">
      <formula>$L118="365 Days"</formula>
    </cfRule>
    <cfRule type="expression" dxfId="165" priority="235">
      <formula>$L118="18 Months"</formula>
    </cfRule>
    <cfRule type="expression" dxfId="164" priority="234">
      <formula>$L118="2 Years"</formula>
    </cfRule>
    <cfRule type="expression" dxfId="163" priority="233">
      <formula>$L118="3 Years"</formula>
    </cfRule>
    <cfRule type="expression" dxfId="162" priority="232">
      <formula>AND($O118 &lt;&gt; "",$O118&lt;TODAY())</formula>
    </cfRule>
    <cfRule type="expression" dxfId="161" priority="242">
      <formula>AND($O118 &lt;&gt; "",$O118&lt;TODAY())</formula>
    </cfRule>
    <cfRule type="expression" dxfId="160" priority="251">
      <formula>$L118="30 Days"</formula>
    </cfRule>
    <cfRule type="expression" dxfId="159" priority="250">
      <formula>$L118="60 Days"</formula>
    </cfRule>
    <cfRule type="expression" dxfId="158" priority="249">
      <formula>$L118="90 Days"</formula>
    </cfRule>
    <cfRule type="expression" dxfId="157" priority="248">
      <formula>$L118="120 Days"</formula>
    </cfRule>
    <cfRule type="expression" dxfId="156" priority="247">
      <formula>$L118="180 Days"</formula>
    </cfRule>
    <cfRule type="expression" dxfId="155" priority="246">
      <formula>$L118="365 Days"</formula>
    </cfRule>
    <cfRule type="expression" dxfId="154" priority="245">
      <formula>$L118="18 Months"</formula>
    </cfRule>
    <cfRule type="expression" dxfId="153" priority="244">
      <formula>$L118="2 Years"</formula>
    </cfRule>
    <cfRule type="expression" dxfId="152" priority="243">
      <formula>$L118="3 Years"</formula>
    </cfRule>
  </conditionalFormatting>
  <conditionalFormatting sqref="N126">
    <cfRule type="expression" dxfId="151" priority="225">
      <formula>$L126="18 Months"</formula>
    </cfRule>
    <cfRule type="expression" dxfId="150" priority="226">
      <formula>$L126="365 Days"</formula>
    </cfRule>
    <cfRule type="expression" dxfId="149" priority="227">
      <formula>$L126="180 Days"</formula>
    </cfRule>
    <cfRule type="expression" dxfId="148" priority="228">
      <formula>$L126="120 Days"</formula>
    </cfRule>
    <cfRule type="expression" dxfId="147" priority="229">
      <formula>$L126="90 Days"</formula>
    </cfRule>
    <cfRule type="expression" dxfId="146" priority="230">
      <formula>$L126="60 Days"</formula>
    </cfRule>
    <cfRule type="expression" dxfId="145" priority="231">
      <formula>$L126="30 Days"</formula>
    </cfRule>
    <cfRule type="expression" dxfId="144" priority="223">
      <formula>$L126="3 Years"</formula>
    </cfRule>
    <cfRule type="expression" dxfId="143" priority="222">
      <formula>AND($O126 &lt;&gt; "",$O126&lt;TODAY())</formula>
    </cfRule>
    <cfRule type="expression" dxfId="142" priority="224">
      <formula>$L126="2 Years"</formula>
    </cfRule>
  </conditionalFormatting>
  <conditionalFormatting sqref="N126:N127">
    <cfRule type="expression" dxfId="141" priority="211">
      <formula>$L126="30 Days"</formula>
    </cfRule>
    <cfRule type="expression" dxfId="140" priority="210">
      <formula>$L126="60 Days"</formula>
    </cfRule>
    <cfRule type="expression" dxfId="139" priority="209">
      <formula>$L126="90 Days"</formula>
    </cfRule>
    <cfRule type="expression" dxfId="138" priority="208">
      <formula>$L126="120 Days"</formula>
    </cfRule>
    <cfRule type="expression" dxfId="137" priority="207">
      <formula>$L126="180 Days"</formula>
    </cfRule>
    <cfRule type="expression" dxfId="136" priority="206">
      <formula>$L126="365 Days"</formula>
    </cfRule>
    <cfRule type="expression" dxfId="135" priority="205">
      <formula>$L126="18 Months"</formula>
    </cfRule>
    <cfRule type="expression" dxfId="134" priority="204">
      <formula>$L126="2 Years"</formula>
    </cfRule>
    <cfRule type="expression" dxfId="133" priority="202">
      <formula>AND($O126 &lt;&gt; "",$O126&lt;TODAY())</formula>
    </cfRule>
    <cfRule type="expression" dxfId="132" priority="203">
      <formula>$L126="3 Years"</formula>
    </cfRule>
  </conditionalFormatting>
  <conditionalFormatting sqref="N127">
    <cfRule type="expression" dxfId="131" priority="201">
      <formula>$L127="30 Days"</formula>
    </cfRule>
    <cfRule type="expression" dxfId="130" priority="200">
      <formula>$L127="60 Days"</formula>
    </cfRule>
    <cfRule type="expression" dxfId="129" priority="199">
      <formula>$L127="90 Days"</formula>
    </cfRule>
    <cfRule type="expression" dxfId="128" priority="198">
      <formula>$L127="120 Days"</formula>
    </cfRule>
    <cfRule type="expression" dxfId="127" priority="197">
      <formula>$L127="180 Days"</formula>
    </cfRule>
    <cfRule type="expression" dxfId="126" priority="196">
      <formula>$L127="365 Days"</formula>
    </cfRule>
    <cfRule type="expression" dxfId="125" priority="195">
      <formula>$L127="18 Months"</formula>
    </cfRule>
    <cfRule type="expression" dxfId="124" priority="194">
      <formula>$L127="2 Years"</formula>
    </cfRule>
    <cfRule type="expression" dxfId="123" priority="193">
      <formula>$L127="3 Years"</formula>
    </cfRule>
    <cfRule type="expression" dxfId="122" priority="192">
      <formula>AND($O127 &lt;&gt; "",$O127&lt;TODAY())</formula>
    </cfRule>
  </conditionalFormatting>
  <conditionalFormatting sqref="N129">
    <cfRule type="expression" dxfId="121" priority="191">
      <formula>$L129="30 Days"</formula>
    </cfRule>
    <cfRule type="expression" dxfId="120" priority="190">
      <formula>$L129="60 Days"</formula>
    </cfRule>
    <cfRule type="expression" dxfId="119" priority="189">
      <formula>$L129="90 Days"</formula>
    </cfRule>
    <cfRule type="expression" dxfId="118" priority="188">
      <formula>$L129="120 Days"</formula>
    </cfRule>
    <cfRule type="expression" dxfId="117" priority="187">
      <formula>$L129="180 Days"</formula>
    </cfRule>
    <cfRule type="expression" dxfId="116" priority="186">
      <formula>$L129="365 Days"</formula>
    </cfRule>
    <cfRule type="expression" dxfId="115" priority="175">
      <formula>$L129="18 Months"</formula>
    </cfRule>
    <cfRule type="expression" dxfId="114" priority="174">
      <formula>$L129="2 Years"</formula>
    </cfRule>
    <cfRule type="expression" dxfId="113" priority="173">
      <formula>$L129="3 Years"</formula>
    </cfRule>
    <cfRule type="expression" dxfId="112" priority="172">
      <formula>AND($O129 &lt;&gt; "",$O129&lt;TODAY())</formula>
    </cfRule>
    <cfRule type="expression" dxfId="111" priority="177">
      <formula>$L129="180 Days"</formula>
    </cfRule>
    <cfRule type="expression" dxfId="110" priority="178">
      <formula>$L129="120 Days"</formula>
    </cfRule>
    <cfRule type="expression" dxfId="109" priority="180">
      <formula>$L129="60 Days"</formula>
    </cfRule>
    <cfRule type="expression" dxfId="108" priority="176">
      <formula>$L129="365 Days"</formula>
    </cfRule>
    <cfRule type="expression" dxfId="107" priority="179">
      <formula>$L129="90 Days"</formula>
    </cfRule>
    <cfRule type="expression" dxfId="106" priority="181">
      <formula>$L129="30 Days"</formula>
    </cfRule>
    <cfRule type="expression" dxfId="105" priority="182">
      <formula>AND($O129 &lt;&gt; "",$O129&lt;TODAY())</formula>
    </cfRule>
    <cfRule type="expression" dxfId="104" priority="183">
      <formula>$L129="3 Years"</formula>
    </cfRule>
    <cfRule type="expression" dxfId="103" priority="184">
      <formula>$L129="2 Years"</formula>
    </cfRule>
    <cfRule type="expression" dxfId="102" priority="185">
      <formula>$L129="18 Months"</formula>
    </cfRule>
  </conditionalFormatting>
  <conditionalFormatting sqref="N132">
    <cfRule type="expression" dxfId="101" priority="162">
      <formula>AND($O132 &lt;&gt; "",$O132&lt;TODAY())</formula>
    </cfRule>
    <cfRule type="expression" dxfId="100" priority="161">
      <formula>$L132="30 Days"</formula>
    </cfRule>
    <cfRule type="expression" dxfId="99" priority="160">
      <formula>$L132="60 Days"</formula>
    </cfRule>
    <cfRule type="expression" dxfId="98" priority="171">
      <formula>$L132="30 Days"</formula>
    </cfRule>
    <cfRule type="expression" dxfId="97" priority="158">
      <formula>$L132="120 Days"</formula>
    </cfRule>
    <cfRule type="expression" dxfId="96" priority="152">
      <formula>AND($O132 &lt;&gt; "",$O132&lt;TODAY())</formula>
    </cfRule>
    <cfRule type="expression" dxfId="95" priority="157">
      <formula>$L132="180 Days"</formula>
    </cfRule>
    <cfRule type="expression" dxfId="94" priority="170">
      <formula>$L132="60 Days"</formula>
    </cfRule>
    <cfRule type="expression" dxfId="93" priority="155">
      <formula>$L132="18 Months"</formula>
    </cfRule>
    <cfRule type="expression" dxfId="92" priority="154">
      <formula>$L132="2 Years"</formula>
    </cfRule>
    <cfRule type="expression" dxfId="91" priority="153">
      <formula>$L132="3 Years"</formula>
    </cfRule>
    <cfRule type="expression" dxfId="90" priority="169">
      <formula>$L132="90 Days"</formula>
    </cfRule>
    <cfRule type="expression" dxfId="89" priority="168">
      <formula>$L132="120 Days"</formula>
    </cfRule>
    <cfRule type="expression" dxfId="88" priority="156">
      <formula>$L132="365 Days"</formula>
    </cfRule>
    <cfRule type="expression" dxfId="87" priority="167">
      <formula>$L132="180 Days"</formula>
    </cfRule>
    <cfRule type="expression" dxfId="86" priority="166">
      <formula>$L132="365 Days"</formula>
    </cfRule>
    <cfRule type="expression" dxfId="85" priority="165">
      <formula>$L132="18 Months"</formula>
    </cfRule>
    <cfRule type="expression" dxfId="84" priority="164">
      <formula>$L132="2 Years"</formula>
    </cfRule>
    <cfRule type="expression" dxfId="83" priority="163">
      <formula>$L132="3 Years"</formula>
    </cfRule>
    <cfRule type="expression" dxfId="82" priority="159">
      <formula>$L132="90 Days"</formula>
    </cfRule>
  </conditionalFormatting>
  <conditionalFormatting sqref="N134">
    <cfRule type="expression" dxfId="81" priority="142">
      <formula>AND($O134 &lt;&gt; "",$O134&lt;TODAY())</formula>
    </cfRule>
    <cfRule type="expression" dxfId="80" priority="141">
      <formula>$L134="30 Days"</formula>
    </cfRule>
    <cfRule type="expression" dxfId="79" priority="140">
      <formula>$L134="60 Days"</formula>
    </cfRule>
    <cfRule type="expression" dxfId="78" priority="139">
      <formula>$L134="90 Days"</formula>
    </cfRule>
    <cfRule type="expression" dxfId="77" priority="138">
      <formula>$L134="120 Days"</formula>
    </cfRule>
    <cfRule type="expression" dxfId="76" priority="137">
      <formula>$L134="180 Days"</formula>
    </cfRule>
    <cfRule type="expression" dxfId="75" priority="136">
      <formula>$L134="365 Days"</formula>
    </cfRule>
    <cfRule type="expression" dxfId="74" priority="135">
      <formula>$L134="18 Months"</formula>
    </cfRule>
    <cfRule type="expression" dxfId="73" priority="134">
      <formula>$L134="2 Years"</formula>
    </cfRule>
    <cfRule type="expression" dxfId="72" priority="133">
      <formula>$L134="3 Years"</formula>
    </cfRule>
    <cfRule type="expression" dxfId="71" priority="132">
      <formula>AND($O134 &lt;&gt; "",$O134&lt;TODAY())</formula>
    </cfRule>
    <cfRule type="expression" dxfId="70" priority="147">
      <formula>$L134="180 Days"</formula>
    </cfRule>
    <cfRule type="expression" dxfId="69" priority="151">
      <formula>$L134="30 Days"</formula>
    </cfRule>
    <cfRule type="expression" dxfId="68" priority="150">
      <formula>$L134="60 Days"</formula>
    </cfRule>
    <cfRule type="expression" dxfId="67" priority="149">
      <formula>$L134="90 Days"</formula>
    </cfRule>
    <cfRule type="expression" dxfId="66" priority="148">
      <formula>$L134="120 Days"</formula>
    </cfRule>
    <cfRule type="expression" dxfId="65" priority="146">
      <formula>$L134="365 Days"</formula>
    </cfRule>
    <cfRule type="expression" dxfId="64" priority="145">
      <formula>$L134="18 Months"</formula>
    </cfRule>
    <cfRule type="expression" dxfId="63" priority="144">
      <formula>$L134="2 Years"</formula>
    </cfRule>
    <cfRule type="expression" dxfId="62" priority="143">
      <formula>$L134="3 Years"</formula>
    </cfRule>
  </conditionalFormatting>
  <conditionalFormatting sqref="N136">
    <cfRule type="expression" dxfId="61" priority="122">
      <formula>AND($O136 &lt;&gt; "",$O136&lt;TODAY())</formula>
    </cfRule>
    <cfRule type="expression" dxfId="60" priority="121">
      <formula>$L136="30 Days"</formula>
    </cfRule>
    <cfRule type="expression" dxfId="59" priority="120">
      <formula>$L136="60 Days"</formula>
    </cfRule>
    <cfRule type="expression" dxfId="58" priority="119">
      <formula>$L136="90 Days"</formula>
    </cfRule>
    <cfRule type="expression" dxfId="57" priority="118">
      <formula>$L136="120 Days"</formula>
    </cfRule>
    <cfRule type="expression" dxfId="56" priority="117">
      <formula>$L136="180 Days"</formula>
    </cfRule>
    <cfRule type="expression" dxfId="55" priority="116">
      <formula>$L136="365 Days"</formula>
    </cfRule>
    <cfRule type="expression" dxfId="54" priority="115">
      <formula>$L136="18 Months"</formula>
    </cfRule>
    <cfRule type="expression" dxfId="53" priority="114">
      <formula>$L136="2 Years"</formula>
    </cfRule>
    <cfRule type="expression" dxfId="52" priority="113">
      <formula>$L136="3 Years"</formula>
    </cfRule>
    <cfRule type="expression" dxfId="51" priority="128">
      <formula>$L136="120 Days"</formula>
    </cfRule>
    <cfRule type="expression" dxfId="50" priority="112">
      <formula>AND($O136 &lt;&gt; "",$O136&lt;TODAY())</formula>
    </cfRule>
    <cfRule type="expression" dxfId="49" priority="131">
      <formula>$L136="30 Days"</formula>
    </cfRule>
    <cfRule type="expression" dxfId="48" priority="130">
      <formula>$L136="60 Days"</formula>
    </cfRule>
    <cfRule type="expression" dxfId="47" priority="129">
      <formula>$L136="90 Days"</formula>
    </cfRule>
    <cfRule type="expression" dxfId="46" priority="127">
      <formula>$L136="180 Days"</formula>
    </cfRule>
    <cfRule type="expression" dxfId="45" priority="126">
      <formula>$L136="365 Days"</formula>
    </cfRule>
    <cfRule type="expression" dxfId="44" priority="125">
      <formula>$L136="18 Months"</formula>
    </cfRule>
    <cfRule type="expression" dxfId="43" priority="124">
      <formula>$L136="2 Years"</formula>
    </cfRule>
    <cfRule type="expression" dxfId="42" priority="123">
      <formula>$L136="3 Years"</formula>
    </cfRule>
  </conditionalFormatting>
  <conditionalFormatting sqref="N144">
    <cfRule type="expression" dxfId="41" priority="102">
      <formula>AND($O144 &lt;&gt; "",$O144&lt;TODAY())</formula>
    </cfRule>
    <cfRule type="expression" dxfId="40" priority="101">
      <formula>$L144="30 Days"</formula>
    </cfRule>
    <cfRule type="expression" dxfId="39" priority="100">
      <formula>$L144="60 Days"</formula>
    </cfRule>
    <cfRule type="expression" dxfId="38" priority="99">
      <formula>$L144="90 Days"</formula>
    </cfRule>
    <cfRule type="expression" dxfId="37" priority="98">
      <formula>$L144="120 Days"</formula>
    </cfRule>
    <cfRule type="expression" dxfId="36" priority="97">
      <formula>$L144="180 Days"</formula>
    </cfRule>
    <cfRule type="expression" dxfId="35" priority="96">
      <formula>$L144="365 Days"</formula>
    </cfRule>
    <cfRule type="expression" dxfId="34" priority="95">
      <formula>$L144="18 Months"</formula>
    </cfRule>
    <cfRule type="expression" dxfId="33" priority="94">
      <formula>$L144="2 Years"</formula>
    </cfRule>
    <cfRule type="expression" dxfId="32" priority="93">
      <formula>$L144="3 Years"</formula>
    </cfRule>
    <cfRule type="expression" dxfId="31" priority="92">
      <formula>AND($O144 &lt;&gt; "",$O144&lt;TODAY())</formula>
    </cfRule>
    <cfRule type="expression" dxfId="30" priority="106">
      <formula>$L144="365 Days"</formula>
    </cfRule>
    <cfRule type="expression" dxfId="29" priority="111">
      <formula>$L144="30 Days"</formula>
    </cfRule>
    <cfRule type="expression" dxfId="28" priority="110">
      <formula>$L144="60 Days"</formula>
    </cfRule>
    <cfRule type="expression" dxfId="27" priority="109">
      <formula>$L144="90 Days"</formula>
    </cfRule>
    <cfRule type="expression" dxfId="26" priority="108">
      <formula>$L144="120 Days"</formula>
    </cfRule>
    <cfRule type="expression" dxfId="25" priority="107">
      <formula>$L144="180 Days"</formula>
    </cfRule>
    <cfRule type="expression" dxfId="24" priority="105">
      <formula>$L144="18 Months"</formula>
    </cfRule>
    <cfRule type="expression" dxfId="23" priority="104">
      <formula>$L144="2 Years"</formula>
    </cfRule>
    <cfRule type="expression" dxfId="22" priority="103">
      <formula>$L144="3 Years"</formula>
    </cfRule>
  </conditionalFormatting>
  <conditionalFormatting sqref="P6:P1048576">
    <cfRule type="expression" dxfId="21" priority="745">
      <formula>$M6=$P6</formula>
    </cfRule>
  </conditionalFormatting>
  <conditionalFormatting sqref="P144">
    <cfRule type="expression" dxfId="20" priority="9">
      <formula>$L144="60 Days"</formula>
    </cfRule>
    <cfRule type="expression" dxfId="19" priority="10">
      <formula>$L144="30 Days"</formula>
    </cfRule>
    <cfRule type="expression" dxfId="18" priority="7">
      <formula>$L144="120 Days"</formula>
    </cfRule>
    <cfRule type="expression" dxfId="17" priority="3">
      <formula>$L144="2 Years"</formula>
    </cfRule>
    <cfRule type="expression" dxfId="16" priority="6">
      <formula>$L144="180 Days"</formula>
    </cfRule>
    <cfRule type="expression" dxfId="15" priority="5">
      <formula>$L144="365 Days"</formula>
    </cfRule>
    <cfRule type="expression" dxfId="14" priority="4">
      <formula>$L144="18 Months"</formula>
    </cfRule>
    <cfRule type="expression" dxfId="13" priority="1">
      <formula>AND($O144 &lt;&gt; "",$O144&lt;TODAY())</formula>
    </cfRule>
    <cfRule type="expression" dxfId="12" priority="2">
      <formula>$L144="3 Years"</formula>
    </cfRule>
    <cfRule type="expression" dxfId="11" priority="8">
      <formula>$L144="90 Days"</formula>
    </cfRule>
  </conditionalFormatting>
  <dataValidations count="1">
    <dataValidation type="list" allowBlank="1" showInputMessage="1" showErrorMessage="1" sqref="L2:L3 L169:L1048576 L147:L167 L5 L7:L145" xr:uid="{0A9C694B-94A3-4585-A1DA-4406EA3A0A38}">
      <formula1>$S$9:$S$18</formula1>
    </dataValidation>
  </dataValidations>
  <pageMargins left="0.7" right="0.7" top="0.75" bottom="0.75" header="0.3" footer="0.3"/>
  <ignoredErrors>
    <ignoredError sqref="F286:F288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99838-186D-4835-A00E-CB4C3A72ACC3}">
  <dimension ref="B1:W940"/>
  <sheetViews>
    <sheetView zoomScale="85" zoomScaleNormal="85" workbookViewId="0">
      <pane ySplit="5" topLeftCell="A8" activePane="bottomLeft" state="frozen"/>
      <selection pane="bottomLeft" activeCell="L5" sqref="L5"/>
    </sheetView>
  </sheetViews>
  <sheetFormatPr defaultColWidth="9.125" defaultRowHeight="16.3" x14ac:dyDescent="0.25"/>
  <cols>
    <col min="1" max="1" width="9.125" style="91"/>
    <col min="2" max="2" width="16.25" style="111" bestFit="1" customWidth="1"/>
    <col min="3" max="3" width="45.25" style="111" bestFit="1" customWidth="1"/>
    <col min="4" max="4" width="15.75" style="21" hidden="1" customWidth="1"/>
    <col min="5" max="5" width="15.75" style="112" customWidth="1"/>
    <col min="6" max="6" width="27.875" style="111" customWidth="1"/>
    <col min="7" max="7" width="15.75" style="111" customWidth="1"/>
    <col min="8" max="9" width="15.75" style="21" hidden="1" customWidth="1"/>
    <col min="10" max="10" width="31.375" style="113" bestFit="1" customWidth="1"/>
    <col min="11" max="13" width="15.75" style="113" customWidth="1"/>
    <col min="14" max="15" width="15.75" style="114" customWidth="1"/>
    <col min="16" max="16" width="15.75" style="115" customWidth="1"/>
    <col min="17" max="17" width="40.75" style="112" customWidth="1"/>
    <col min="18" max="18" width="9.125" style="91"/>
    <col min="19" max="19" width="14.75" style="91" customWidth="1"/>
    <col min="20" max="16384" width="9.125" style="91"/>
  </cols>
  <sheetData>
    <row r="1" spans="2:20" ht="16.5" thickBot="1" x14ac:dyDescent="0.3">
      <c r="B1" s="90"/>
      <c r="C1" s="90"/>
      <c r="D1" s="91"/>
      <c r="E1" s="92"/>
      <c r="F1" s="90"/>
      <c r="G1" s="90"/>
      <c r="H1" s="91"/>
      <c r="I1" s="91"/>
      <c r="J1" s="93"/>
      <c r="K1" s="93"/>
      <c r="L1" s="93"/>
      <c r="M1" s="93"/>
      <c r="N1" s="94"/>
      <c r="O1" s="94"/>
      <c r="P1" s="95"/>
      <c r="Q1" s="92"/>
    </row>
    <row r="2" spans="2:20" ht="14.95" customHeight="1" x14ac:dyDescent="0.25">
      <c r="B2" s="138" t="s">
        <v>233</v>
      </c>
      <c r="C2" s="139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1"/>
      <c r="Q2" s="142"/>
    </row>
    <row r="3" spans="2:20" ht="14.95" customHeight="1" thickBot="1" x14ac:dyDescent="0.3">
      <c r="B3" s="143"/>
      <c r="C3" s="144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6"/>
      <c r="Q3" s="147"/>
    </row>
    <row r="4" spans="2:20" ht="17.149999999999999" thickBot="1" x14ac:dyDescent="0.3">
      <c r="B4" s="96"/>
      <c r="C4" s="97"/>
      <c r="D4" s="98"/>
      <c r="E4" s="97"/>
      <c r="F4" s="97"/>
      <c r="G4" s="97"/>
      <c r="H4" s="98"/>
      <c r="I4" s="98"/>
      <c r="J4" s="99"/>
      <c r="K4" s="99"/>
      <c r="L4" s="99"/>
      <c r="M4" s="100"/>
      <c r="N4" s="101"/>
      <c r="O4" s="101"/>
      <c r="P4" s="102"/>
      <c r="Q4" s="103"/>
    </row>
    <row r="5" spans="2:20" ht="48.9" x14ac:dyDescent="0.25">
      <c r="B5" s="104" t="s">
        <v>0</v>
      </c>
      <c r="C5" s="104" t="s">
        <v>1</v>
      </c>
      <c r="D5" s="105" t="s">
        <v>38</v>
      </c>
      <c r="E5" s="106" t="s">
        <v>2</v>
      </c>
      <c r="F5" s="104" t="s">
        <v>3</v>
      </c>
      <c r="G5" s="104" t="s">
        <v>4</v>
      </c>
      <c r="H5" s="105" t="s">
        <v>37</v>
      </c>
      <c r="I5" s="105" t="s">
        <v>5</v>
      </c>
      <c r="J5" s="104" t="s">
        <v>6</v>
      </c>
      <c r="K5" s="104" t="s">
        <v>226</v>
      </c>
      <c r="L5" s="104" t="s">
        <v>8</v>
      </c>
      <c r="M5" s="104" t="s">
        <v>9</v>
      </c>
      <c r="N5" s="107" t="s">
        <v>10</v>
      </c>
      <c r="O5" s="107" t="s">
        <v>227</v>
      </c>
      <c r="P5" s="108" t="s">
        <v>23</v>
      </c>
      <c r="Q5" s="109" t="s">
        <v>39</v>
      </c>
    </row>
    <row r="6" spans="2:20" x14ac:dyDescent="0.25">
      <c r="B6" s="110" t="str" cm="1">
        <f t="array" ref="B6:Q940">'MAIN BUILDING'!B7:Q941</f>
        <v>Main</v>
      </c>
      <c r="C6" s="90" t="str">
        <v xml:space="preserve"> Basement</v>
      </c>
      <c r="D6" s="91">
        <v>0</v>
      </c>
      <c r="E6" s="92" t="str">
        <v>PRE</v>
      </c>
      <c r="F6" s="92">
        <v>0</v>
      </c>
      <c r="G6" s="92" t="str">
        <v>MERV 13; PLEAT</v>
      </c>
      <c r="H6" s="91">
        <v>0</v>
      </c>
      <c r="I6" s="91">
        <v>0</v>
      </c>
      <c r="J6" s="93" t="str">
        <v>20x20x2</v>
      </c>
      <c r="K6" s="93">
        <v>29</v>
      </c>
      <c r="L6" s="93" t="str">
        <v>90 Days</v>
      </c>
      <c r="M6" s="93">
        <v>28830</v>
      </c>
      <c r="N6" s="94">
        <v>46029</v>
      </c>
      <c r="O6" s="94">
        <v>46119</v>
      </c>
      <c r="P6" s="93">
        <v>28830</v>
      </c>
      <c r="Q6" s="92">
        <v>0</v>
      </c>
      <c r="S6" s="137" t="s">
        <v>25</v>
      </c>
      <c r="T6" s="137"/>
    </row>
    <row r="7" spans="2:20" x14ac:dyDescent="0.25">
      <c r="B7" s="92">
        <v>0</v>
      </c>
      <c r="C7" s="90">
        <v>0</v>
      </c>
      <c r="D7" s="91">
        <v>0</v>
      </c>
      <c r="E7" s="92" t="str">
        <v/>
      </c>
      <c r="F7" s="92">
        <v>0</v>
      </c>
      <c r="G7" s="92">
        <v>0</v>
      </c>
      <c r="H7" s="91">
        <v>0</v>
      </c>
      <c r="I7" s="91">
        <v>0</v>
      </c>
      <c r="J7" s="93">
        <v>0</v>
      </c>
      <c r="K7" s="93">
        <v>0</v>
      </c>
      <c r="L7" s="93" t="str">
        <v/>
      </c>
      <c r="M7" s="93">
        <v>0</v>
      </c>
      <c r="N7" s="94">
        <v>0</v>
      </c>
      <c r="O7" s="94" t="str">
        <v/>
      </c>
      <c r="P7" s="93">
        <v>0</v>
      </c>
      <c r="Q7" s="92">
        <v>0</v>
      </c>
      <c r="S7" s="137"/>
      <c r="T7" s="137"/>
    </row>
    <row r="8" spans="2:20" ht="15.8" customHeight="1" x14ac:dyDescent="0.25">
      <c r="B8" s="92" t="str">
        <v>Main</v>
      </c>
      <c r="C8" s="90" t="str">
        <v>Intake</v>
      </c>
      <c r="D8" s="91">
        <v>0</v>
      </c>
      <c r="E8" s="92" t="str">
        <v>PRE</v>
      </c>
      <c r="F8" s="92" t="str">
        <v xml:space="preserve">AHU 1 </v>
      </c>
      <c r="G8" s="92" t="str">
        <v>Poly Link, 2-PLY</v>
      </c>
      <c r="H8" s="91">
        <v>0</v>
      </c>
      <c r="I8" s="91">
        <v>0</v>
      </c>
      <c r="J8" s="93" t="str">
        <v xml:space="preserve">25x90 </v>
      </c>
      <c r="K8" s="93">
        <v>2</v>
      </c>
      <c r="L8" s="93" t="str">
        <v>30 Days</v>
      </c>
      <c r="M8" s="93">
        <v>28830</v>
      </c>
      <c r="N8" s="94">
        <v>46029</v>
      </c>
      <c r="O8" s="94">
        <v>46059</v>
      </c>
      <c r="P8" s="93">
        <v>28550</v>
      </c>
      <c r="Q8" s="92">
        <v>0</v>
      </c>
      <c r="S8" s="85" t="s">
        <v>22</v>
      </c>
      <c r="T8" s="116" t="s">
        <v>44</v>
      </c>
    </row>
    <row r="9" spans="2:20" x14ac:dyDescent="0.25">
      <c r="B9" s="92" t="str">
        <v>Main</v>
      </c>
      <c r="C9" s="90" t="str">
        <v>Intake</v>
      </c>
      <c r="D9" s="91">
        <v>0</v>
      </c>
      <c r="E9" s="92" t="str">
        <v>PRE</v>
      </c>
      <c r="F9" s="92" t="str">
        <v xml:space="preserve">AHU 1 </v>
      </c>
      <c r="G9" s="92" t="str">
        <v>Poly Link, 2-PLY</v>
      </c>
      <c r="H9" s="91">
        <v>0</v>
      </c>
      <c r="I9" s="91">
        <v>0</v>
      </c>
      <c r="J9" s="93" t="str">
        <v>25x140</v>
      </c>
      <c r="K9" s="93">
        <v>1</v>
      </c>
      <c r="L9" s="93" t="str">
        <v>30 Days</v>
      </c>
      <c r="M9" s="93">
        <v>28830</v>
      </c>
      <c r="N9" s="94">
        <v>46029</v>
      </c>
      <c r="O9" s="94">
        <v>46059</v>
      </c>
      <c r="P9" s="93">
        <v>28550</v>
      </c>
      <c r="Q9" s="92">
        <v>0</v>
      </c>
      <c r="S9" s="13" t="s">
        <v>35</v>
      </c>
      <c r="T9" s="117" t="s">
        <v>46</v>
      </c>
    </row>
    <row r="10" spans="2:20" x14ac:dyDescent="0.25">
      <c r="B10" s="92">
        <v>0</v>
      </c>
      <c r="C10" s="90">
        <v>0</v>
      </c>
      <c r="D10" s="91">
        <v>0</v>
      </c>
      <c r="E10" s="92" t="str">
        <v/>
      </c>
      <c r="F10" s="92">
        <v>0</v>
      </c>
      <c r="G10" s="92">
        <v>0</v>
      </c>
      <c r="H10" s="91">
        <v>0</v>
      </c>
      <c r="I10" s="91">
        <v>0</v>
      </c>
      <c r="J10" s="93">
        <v>0</v>
      </c>
      <c r="K10" s="93">
        <v>0</v>
      </c>
      <c r="L10" s="93" t="str">
        <v/>
      </c>
      <c r="M10" s="93">
        <v>0</v>
      </c>
      <c r="N10" s="94">
        <v>0</v>
      </c>
      <c r="O10" s="94" t="str">
        <v/>
      </c>
      <c r="P10" s="93">
        <v>0</v>
      </c>
      <c r="Q10" s="92">
        <v>0</v>
      </c>
      <c r="S10" s="6" t="s">
        <v>28</v>
      </c>
      <c r="T10" s="118" t="s">
        <v>42</v>
      </c>
    </row>
    <row r="11" spans="2:20" x14ac:dyDescent="0.25">
      <c r="B11" s="92" t="str">
        <v>Main</v>
      </c>
      <c r="C11" s="90" t="str">
        <v xml:space="preserve">Mechanical Room 139 </v>
      </c>
      <c r="D11" s="91">
        <v>0</v>
      </c>
      <c r="E11" s="92" t="str">
        <v>PRE</v>
      </c>
      <c r="F11" s="92" t="str">
        <v xml:space="preserve">AHU 3 </v>
      </c>
      <c r="G11" s="92" t="str">
        <v>HVP (MERV 10) Pleat</v>
      </c>
      <c r="H11" s="91">
        <v>0</v>
      </c>
      <c r="I11" s="91">
        <v>0</v>
      </c>
      <c r="J11" s="93" t="str">
        <v>20x20x2</v>
      </c>
      <c r="K11" s="93">
        <v>20</v>
      </c>
      <c r="L11" s="93" t="str">
        <v>90 Days</v>
      </c>
      <c r="M11" s="93">
        <v>28830</v>
      </c>
      <c r="N11" s="94">
        <v>46029</v>
      </c>
      <c r="O11" s="94">
        <v>46119</v>
      </c>
      <c r="P11" s="93">
        <v>28830</v>
      </c>
      <c r="Q11" s="92">
        <v>0</v>
      </c>
      <c r="S11" s="11" t="s">
        <v>36</v>
      </c>
      <c r="T11" s="119" t="s">
        <v>45</v>
      </c>
    </row>
    <row r="12" spans="2:20" x14ac:dyDescent="0.25">
      <c r="B12" s="92">
        <v>0</v>
      </c>
      <c r="C12" s="90">
        <v>0</v>
      </c>
      <c r="D12" s="91">
        <v>0</v>
      </c>
      <c r="E12" s="92" t="str">
        <v/>
      </c>
      <c r="F12" s="92">
        <v>0</v>
      </c>
      <c r="G12" s="92">
        <v>0</v>
      </c>
      <c r="H12" s="91">
        <v>0</v>
      </c>
      <c r="I12" s="91">
        <v>0</v>
      </c>
      <c r="J12" s="93">
        <v>0</v>
      </c>
      <c r="K12" s="93">
        <v>0</v>
      </c>
      <c r="L12" s="93" t="str">
        <v/>
      </c>
      <c r="M12" s="93">
        <v>0</v>
      </c>
      <c r="N12" s="94">
        <v>0</v>
      </c>
      <c r="O12" s="94" t="str">
        <v/>
      </c>
      <c r="P12" s="93">
        <v>0</v>
      </c>
      <c r="Q12" s="92">
        <v>0</v>
      </c>
      <c r="S12" s="5" t="s">
        <v>32</v>
      </c>
      <c r="T12" s="120" t="s">
        <v>40</v>
      </c>
    </row>
    <row r="13" spans="2:20" x14ac:dyDescent="0.25">
      <c r="B13" s="92" t="str">
        <v>Main</v>
      </c>
      <c r="C13" s="90" t="str">
        <v>6th Floor; Mechanical 
Room 632</v>
      </c>
      <c r="D13" s="91">
        <v>0</v>
      </c>
      <c r="E13" s="92" t="str">
        <v>PRE</v>
      </c>
      <c r="F13" s="92" t="str">
        <v>AHU 106</v>
      </c>
      <c r="G13" s="92" t="str">
        <v>ZLP (MERV 10) Pleat</v>
      </c>
      <c r="H13" s="91">
        <v>0</v>
      </c>
      <c r="I13" s="91">
        <v>0</v>
      </c>
      <c r="J13" s="93" t="str">
        <v>16x25x2</v>
      </c>
      <c r="K13" s="93">
        <v>8</v>
      </c>
      <c r="L13" s="93" t="str">
        <v>90 Days</v>
      </c>
      <c r="M13" s="93">
        <v>28830</v>
      </c>
      <c r="N13" s="94">
        <v>46029</v>
      </c>
      <c r="O13" s="94">
        <v>46119</v>
      </c>
      <c r="P13" s="93">
        <v>28830</v>
      </c>
      <c r="Q13" s="92">
        <v>0</v>
      </c>
      <c r="S13" s="7" t="s">
        <v>24</v>
      </c>
      <c r="T13" s="121" t="s">
        <v>43</v>
      </c>
    </row>
    <row r="14" spans="2:20" x14ac:dyDescent="0.25">
      <c r="B14" s="92" t="str">
        <v>Main</v>
      </c>
      <c r="C14" s="90" t="str">
        <v>6th Floor; Mechanical 
Room 632</v>
      </c>
      <c r="D14" s="91">
        <v>0</v>
      </c>
      <c r="E14" s="92" t="str">
        <v>FINAL</v>
      </c>
      <c r="F14" s="92" t="str">
        <v>AHU 106</v>
      </c>
      <c r="G14" s="92" t="str">
        <v>F8, 4V-Bank Filter</v>
      </c>
      <c r="H14" s="91">
        <v>0</v>
      </c>
      <c r="I14" s="91">
        <v>0</v>
      </c>
      <c r="J14" s="93" t="str">
        <v xml:space="preserve">24x24x12 </v>
      </c>
      <c r="K14" s="93">
        <v>8</v>
      </c>
      <c r="L14" s="93" t="str">
        <v>18 Months</v>
      </c>
      <c r="M14" s="93">
        <v>27627</v>
      </c>
      <c r="N14" s="94">
        <v>45909</v>
      </c>
      <c r="O14" s="94">
        <v>46456</v>
      </c>
      <c r="P14" s="93">
        <v>0</v>
      </c>
      <c r="Q14" s="92">
        <v>0</v>
      </c>
      <c r="S14" s="9" t="s">
        <v>34</v>
      </c>
      <c r="T14" s="122"/>
    </row>
    <row r="15" spans="2:20" x14ac:dyDescent="0.25">
      <c r="B15" s="92">
        <v>0</v>
      </c>
      <c r="C15" s="90">
        <v>0</v>
      </c>
      <c r="D15" s="91">
        <v>0</v>
      </c>
      <c r="E15" s="92" t="str">
        <v/>
      </c>
      <c r="F15" s="92">
        <v>0</v>
      </c>
      <c r="G15" s="92">
        <v>0</v>
      </c>
      <c r="H15" s="91">
        <v>0</v>
      </c>
      <c r="I15" s="91">
        <v>0</v>
      </c>
      <c r="J15" s="93">
        <v>0</v>
      </c>
      <c r="K15" s="93">
        <v>0</v>
      </c>
      <c r="L15" s="93" t="str">
        <v/>
      </c>
      <c r="M15" s="93">
        <v>0</v>
      </c>
      <c r="N15" s="94">
        <v>0</v>
      </c>
      <c r="O15" s="94" t="str">
        <v/>
      </c>
      <c r="P15" s="93">
        <v>0</v>
      </c>
      <c r="Q15" s="92">
        <v>0</v>
      </c>
      <c r="S15" s="12" t="s">
        <v>31</v>
      </c>
      <c r="T15" s="123" t="s">
        <v>47</v>
      </c>
    </row>
    <row r="16" spans="2:20" x14ac:dyDescent="0.3">
      <c r="B16" s="92" t="str">
        <v>Main</v>
      </c>
      <c r="C16" s="90" t="str">
        <v>6th Floor; Mechanical 
Room 644</v>
      </c>
      <c r="D16" s="91">
        <v>0</v>
      </c>
      <c r="E16" s="92" t="str">
        <v>PRE</v>
      </c>
      <c r="F16" s="92">
        <v>0</v>
      </c>
      <c r="G16" s="92" t="str">
        <v>ZLP (MERV 10) Pleat</v>
      </c>
      <c r="H16" s="91">
        <v>0</v>
      </c>
      <c r="I16" s="91">
        <v>0</v>
      </c>
      <c r="J16" s="93" t="str">
        <v>16x25x2</v>
      </c>
      <c r="K16" s="93">
        <v>8</v>
      </c>
      <c r="L16" s="93" t="str">
        <v>Removed</v>
      </c>
      <c r="M16" s="93">
        <v>28830</v>
      </c>
      <c r="N16" s="94">
        <v>45840</v>
      </c>
      <c r="O16" s="94" t="str">
        <v/>
      </c>
      <c r="P16" s="93">
        <v>0</v>
      </c>
      <c r="Q16" s="92" t="str">
        <v>Removed with Byron's approval</v>
      </c>
      <c r="S16" s="8" t="s">
        <v>30</v>
      </c>
      <c r="T16" s="124" t="s">
        <v>41</v>
      </c>
    </row>
    <row r="17" spans="2:20" x14ac:dyDescent="0.3">
      <c r="B17" s="92" t="str">
        <v>Main</v>
      </c>
      <c r="C17" s="90" t="str">
        <v>6th Floor; Mechanical 
Room 644</v>
      </c>
      <c r="D17" s="91">
        <v>0</v>
      </c>
      <c r="E17" s="92" t="str">
        <v>FINAL</v>
      </c>
      <c r="F17" s="92">
        <v>0</v>
      </c>
      <c r="G17" s="92" t="str">
        <v>F8, 4V-Bank Filter</v>
      </c>
      <c r="H17" s="91">
        <v>0</v>
      </c>
      <c r="I17" s="91">
        <v>0</v>
      </c>
      <c r="J17" s="93" t="str">
        <v>24x24x12</v>
      </c>
      <c r="K17" s="93">
        <v>8</v>
      </c>
      <c r="L17" s="93" t="str">
        <v>Removed</v>
      </c>
      <c r="M17" s="93">
        <v>28830</v>
      </c>
      <c r="N17" s="94">
        <v>45362</v>
      </c>
      <c r="O17" s="94" t="str">
        <v/>
      </c>
      <c r="P17" s="93">
        <v>27627</v>
      </c>
      <c r="Q17" s="92" t="str">
        <v>Removed with Byron's approval</v>
      </c>
      <c r="S17" s="125" t="s">
        <v>33</v>
      </c>
      <c r="T17" s="126" t="s">
        <v>26</v>
      </c>
    </row>
    <row r="18" spans="2:20" x14ac:dyDescent="0.25">
      <c r="B18" s="92">
        <v>0</v>
      </c>
      <c r="C18" s="90">
        <v>0</v>
      </c>
      <c r="D18" s="91">
        <v>0</v>
      </c>
      <c r="E18" s="92" t="str">
        <v/>
      </c>
      <c r="F18" s="92">
        <v>0</v>
      </c>
      <c r="G18" s="92">
        <v>0</v>
      </c>
      <c r="H18" s="91">
        <v>0</v>
      </c>
      <c r="I18" s="91">
        <v>0</v>
      </c>
      <c r="J18" s="93">
        <v>0</v>
      </c>
      <c r="K18" s="93">
        <v>0</v>
      </c>
      <c r="L18" s="93" t="str">
        <v/>
      </c>
      <c r="M18" s="93">
        <v>0</v>
      </c>
      <c r="N18" s="94">
        <v>0</v>
      </c>
      <c r="O18" s="94" t="str">
        <v/>
      </c>
      <c r="P18" s="93">
        <v>0</v>
      </c>
      <c r="Q18" s="92">
        <v>0</v>
      </c>
      <c r="S18" s="127" t="s">
        <v>219</v>
      </c>
      <c r="T18" s="128" t="s">
        <v>220</v>
      </c>
    </row>
    <row r="19" spans="2:20" x14ac:dyDescent="0.25">
      <c r="B19" s="92" t="str">
        <v>Main</v>
      </c>
      <c r="C19" s="90" t="str">
        <v>5 - South; 5th Floor, 
Mechanical Room 534</v>
      </c>
      <c r="D19" s="91">
        <v>0</v>
      </c>
      <c r="E19" s="92" t="str">
        <v>PRE</v>
      </c>
      <c r="F19" s="92" t="str">
        <v>AHU 104</v>
      </c>
      <c r="G19" s="92" t="str">
        <v>ZLP (MERV 10) Pleat</v>
      </c>
      <c r="H19" s="91">
        <v>0</v>
      </c>
      <c r="I19" s="91">
        <v>0</v>
      </c>
      <c r="J19" s="93" t="str">
        <v>16x25x2</v>
      </c>
      <c r="K19" s="93">
        <v>8</v>
      </c>
      <c r="L19" s="93" t="str">
        <v>90 Days</v>
      </c>
      <c r="M19" s="93">
        <v>28830</v>
      </c>
      <c r="N19" s="94">
        <v>46029</v>
      </c>
      <c r="O19" s="94">
        <v>46119</v>
      </c>
      <c r="P19" s="93">
        <v>28830</v>
      </c>
      <c r="Q19" s="92">
        <v>0</v>
      </c>
    </row>
    <row r="20" spans="2:20" x14ac:dyDescent="0.25">
      <c r="B20" s="92" t="str">
        <v>Main</v>
      </c>
      <c r="C20" s="90" t="str">
        <v>5 - South; 5th Floor, 
Mechanical Room 534</v>
      </c>
      <c r="D20" s="91">
        <v>0</v>
      </c>
      <c r="E20" s="92" t="str">
        <v>FINAL</v>
      </c>
      <c r="F20" s="92" t="str">
        <v>AHU 104</v>
      </c>
      <c r="G20" s="92" t="str">
        <v>F8, 4V-Bank Filter</v>
      </c>
      <c r="H20" s="91">
        <v>0</v>
      </c>
      <c r="I20" s="91">
        <v>0</v>
      </c>
      <c r="J20" s="93" t="str">
        <v xml:space="preserve">24x24x12 </v>
      </c>
      <c r="K20" s="93">
        <v>8</v>
      </c>
      <c r="L20" s="93" t="str">
        <v>18 Months</v>
      </c>
      <c r="M20" s="93">
        <v>27627</v>
      </c>
      <c r="N20" s="94">
        <v>45909</v>
      </c>
      <c r="O20" s="94">
        <v>46456</v>
      </c>
      <c r="P20" s="93">
        <v>0</v>
      </c>
      <c r="Q20" s="92">
        <v>0</v>
      </c>
    </row>
    <row r="21" spans="2:20" x14ac:dyDescent="0.25">
      <c r="B21" s="92">
        <v>0</v>
      </c>
      <c r="C21" s="90">
        <v>0</v>
      </c>
      <c r="D21" s="91">
        <v>0</v>
      </c>
      <c r="E21" s="92" t="str">
        <v/>
      </c>
      <c r="F21" s="92">
        <v>0</v>
      </c>
      <c r="G21" s="92">
        <v>0</v>
      </c>
      <c r="H21" s="91">
        <v>0</v>
      </c>
      <c r="I21" s="91">
        <v>0</v>
      </c>
      <c r="J21" s="93">
        <v>0</v>
      </c>
      <c r="K21" s="93">
        <v>0</v>
      </c>
      <c r="L21" s="93" t="str">
        <v/>
      </c>
      <c r="M21" s="93">
        <v>0</v>
      </c>
      <c r="N21" s="94">
        <v>0</v>
      </c>
      <c r="O21" s="94" t="str">
        <v/>
      </c>
      <c r="P21" s="93">
        <v>0</v>
      </c>
      <c r="Q21" s="92">
        <v>0</v>
      </c>
    </row>
    <row r="22" spans="2:20" x14ac:dyDescent="0.25">
      <c r="B22" s="92" t="str">
        <v>Main</v>
      </c>
      <c r="C22" s="90" t="str">
        <v>5 - North; 5th Floor, 
Mechanical Room 547</v>
      </c>
      <c r="D22" s="91">
        <v>0</v>
      </c>
      <c r="E22" s="92" t="str">
        <v>PRE</v>
      </c>
      <c r="F22" s="92" t="str">
        <v>AHU 103</v>
      </c>
      <c r="G22" s="92" t="str">
        <v>ZLP (MERV 10) Pleat</v>
      </c>
      <c r="H22" s="91">
        <v>0</v>
      </c>
      <c r="I22" s="91">
        <v>0</v>
      </c>
      <c r="J22" s="93" t="str">
        <v>16x25x2</v>
      </c>
      <c r="K22" s="93">
        <v>8</v>
      </c>
      <c r="L22" s="93" t="str">
        <v>90 Days</v>
      </c>
      <c r="M22" s="93">
        <v>28830</v>
      </c>
      <c r="N22" s="94">
        <v>46029</v>
      </c>
      <c r="O22" s="94">
        <v>46119</v>
      </c>
      <c r="P22" s="93">
        <v>28830</v>
      </c>
      <c r="Q22" s="92">
        <v>0</v>
      </c>
    </row>
    <row r="23" spans="2:20" x14ac:dyDescent="0.25">
      <c r="B23" s="92" t="str">
        <v>Main</v>
      </c>
      <c r="C23" s="90" t="str">
        <v>5 - North; 5th Floor, 
Mechanical Room 547</v>
      </c>
      <c r="D23" s="91">
        <v>0</v>
      </c>
      <c r="E23" s="92" t="str">
        <v>FINAL</v>
      </c>
      <c r="F23" s="92" t="str">
        <v>AHU 103</v>
      </c>
      <c r="G23" s="92" t="str">
        <v>F8, 4V-Bank Filter</v>
      </c>
      <c r="H23" s="91">
        <v>0</v>
      </c>
      <c r="I23" s="91">
        <v>0</v>
      </c>
      <c r="J23" s="93" t="str">
        <v xml:space="preserve">24x24x12 </v>
      </c>
      <c r="K23" s="93">
        <v>8</v>
      </c>
      <c r="L23" s="93" t="str">
        <v>18 Months</v>
      </c>
      <c r="M23" s="93">
        <v>27627</v>
      </c>
      <c r="N23" s="94">
        <v>45909</v>
      </c>
      <c r="O23" s="94">
        <v>46456</v>
      </c>
      <c r="P23" s="93">
        <v>0</v>
      </c>
      <c r="Q23" s="92">
        <v>0</v>
      </c>
    </row>
    <row r="24" spans="2:20" x14ac:dyDescent="0.25">
      <c r="B24" s="92">
        <v>0</v>
      </c>
      <c r="C24" s="90">
        <v>0</v>
      </c>
      <c r="D24" s="91">
        <v>0</v>
      </c>
      <c r="E24" s="92" t="str">
        <v/>
      </c>
      <c r="F24" s="92">
        <v>0</v>
      </c>
      <c r="G24" s="92">
        <v>0</v>
      </c>
      <c r="H24" s="91">
        <v>0</v>
      </c>
      <c r="I24" s="91">
        <v>0</v>
      </c>
      <c r="J24" s="93">
        <v>0</v>
      </c>
      <c r="K24" s="93">
        <v>0</v>
      </c>
      <c r="L24" s="93" t="str">
        <v/>
      </c>
      <c r="M24" s="93">
        <v>0</v>
      </c>
      <c r="N24" s="94">
        <v>0</v>
      </c>
      <c r="O24" s="94" t="str">
        <v/>
      </c>
      <c r="P24" s="93">
        <v>0</v>
      </c>
      <c r="Q24" s="92">
        <v>0</v>
      </c>
    </row>
    <row r="25" spans="2:20" x14ac:dyDescent="0.25">
      <c r="B25" s="92" t="str">
        <v>Main</v>
      </c>
      <c r="C25" s="90" t="str">
        <v>4 - South; 4th Floor, 
Mechanical Room 446</v>
      </c>
      <c r="D25" s="91">
        <v>0</v>
      </c>
      <c r="E25" s="92" t="str">
        <v>PRE</v>
      </c>
      <c r="F25" s="92" t="str">
        <v>AHU 12</v>
      </c>
      <c r="G25" s="92" t="str">
        <v>ZLP (MERV 10) Pleat</v>
      </c>
      <c r="H25" s="91">
        <v>0</v>
      </c>
      <c r="I25" s="91">
        <v>0</v>
      </c>
      <c r="J25" s="93" t="str">
        <v>16x25x2</v>
      </c>
      <c r="K25" s="93">
        <v>8</v>
      </c>
      <c r="L25" s="93" t="str">
        <v>90 Days</v>
      </c>
      <c r="M25" s="93">
        <v>28830</v>
      </c>
      <c r="N25" s="94">
        <v>46029</v>
      </c>
      <c r="O25" s="94">
        <v>46119</v>
      </c>
      <c r="P25" s="93">
        <v>28830</v>
      </c>
      <c r="Q25" s="92">
        <v>0</v>
      </c>
    </row>
    <row r="26" spans="2:20" x14ac:dyDescent="0.25">
      <c r="B26" s="92">
        <v>0</v>
      </c>
      <c r="C26" s="90">
        <v>0</v>
      </c>
      <c r="D26" s="91">
        <v>0</v>
      </c>
      <c r="E26" s="92" t="str">
        <v/>
      </c>
      <c r="F26" s="92">
        <v>0</v>
      </c>
      <c r="G26" s="92">
        <v>0</v>
      </c>
      <c r="H26" s="91">
        <v>0</v>
      </c>
      <c r="I26" s="91">
        <v>0</v>
      </c>
      <c r="J26" s="93">
        <v>0</v>
      </c>
      <c r="K26" s="93">
        <v>0</v>
      </c>
      <c r="L26" s="93" t="str">
        <v/>
      </c>
      <c r="M26" s="93">
        <v>0</v>
      </c>
      <c r="N26" s="94">
        <v>0</v>
      </c>
      <c r="O26" s="94" t="str">
        <v/>
      </c>
      <c r="P26" s="93">
        <v>0</v>
      </c>
      <c r="Q26" s="92">
        <v>0</v>
      </c>
    </row>
    <row r="27" spans="2:20" x14ac:dyDescent="0.25">
      <c r="B27" s="92" t="str">
        <v>Main</v>
      </c>
      <c r="C27" s="90" t="str">
        <v>4 - North; 4th Floor, 
Mechanical Room 453</v>
      </c>
      <c r="D27" s="91">
        <v>0</v>
      </c>
      <c r="E27" s="92" t="str">
        <v>PRE</v>
      </c>
      <c r="F27" s="92" t="str">
        <v>AHU 11</v>
      </c>
      <c r="G27" s="92" t="str">
        <v>ZLP (MERV 10) Pleat</v>
      </c>
      <c r="H27" s="91">
        <v>0</v>
      </c>
      <c r="I27" s="91">
        <v>0</v>
      </c>
      <c r="J27" s="93" t="str">
        <v>16x25x2</v>
      </c>
      <c r="K27" s="93">
        <v>8</v>
      </c>
      <c r="L27" s="93" t="str">
        <v>90 Days</v>
      </c>
      <c r="M27" s="93">
        <v>28830</v>
      </c>
      <c r="N27" s="94">
        <v>46029</v>
      </c>
      <c r="O27" s="94">
        <v>46119</v>
      </c>
      <c r="P27" s="93">
        <v>28830</v>
      </c>
      <c r="Q27" s="92">
        <v>0</v>
      </c>
    </row>
    <row r="28" spans="2:20" x14ac:dyDescent="0.25">
      <c r="B28" s="92">
        <v>0</v>
      </c>
      <c r="C28" s="90">
        <v>0</v>
      </c>
      <c r="D28" s="91">
        <v>0</v>
      </c>
      <c r="E28" s="92" t="str">
        <v/>
      </c>
      <c r="F28" s="92">
        <v>0</v>
      </c>
      <c r="G28" s="92">
        <v>0</v>
      </c>
      <c r="H28" s="91">
        <v>0</v>
      </c>
      <c r="I28" s="91">
        <v>0</v>
      </c>
      <c r="J28" s="93">
        <v>0</v>
      </c>
      <c r="K28" s="93">
        <v>0</v>
      </c>
      <c r="L28" s="93" t="str">
        <v/>
      </c>
      <c r="M28" s="93">
        <v>0</v>
      </c>
      <c r="N28" s="94">
        <v>0</v>
      </c>
      <c r="O28" s="94" t="str">
        <v/>
      </c>
      <c r="P28" s="93">
        <v>0</v>
      </c>
      <c r="Q28" s="92">
        <v>0</v>
      </c>
    </row>
    <row r="29" spans="2:20" x14ac:dyDescent="0.25">
      <c r="B29" s="92" t="str">
        <v>Main</v>
      </c>
      <c r="C29" s="90" t="str">
        <v>3 - North; 3rd Floor, 
Mechanical Room 330</v>
      </c>
      <c r="D29" s="91">
        <v>0</v>
      </c>
      <c r="E29" s="92" t="str">
        <v>PRE</v>
      </c>
      <c r="F29" s="92" t="str">
        <v>AHU 9</v>
      </c>
      <c r="G29" s="92" t="str">
        <v>ZLP (MERV 10) Pleat</v>
      </c>
      <c r="H29" s="91">
        <v>0</v>
      </c>
      <c r="I29" s="91">
        <v>0</v>
      </c>
      <c r="J29" s="93" t="str">
        <v>16x25x2</v>
      </c>
      <c r="K29" s="93">
        <v>8</v>
      </c>
      <c r="L29" s="93" t="str">
        <v>90 Days</v>
      </c>
      <c r="M29" s="93">
        <v>28830</v>
      </c>
      <c r="N29" s="94">
        <v>46029</v>
      </c>
      <c r="O29" s="94">
        <v>46119</v>
      </c>
      <c r="P29" s="93">
        <v>28830</v>
      </c>
      <c r="Q29" s="92">
        <v>0</v>
      </c>
    </row>
    <row r="30" spans="2:20" x14ac:dyDescent="0.25">
      <c r="B30" s="92">
        <v>0</v>
      </c>
      <c r="C30" s="90">
        <v>0</v>
      </c>
      <c r="D30" s="91">
        <v>0</v>
      </c>
      <c r="E30" s="92" t="str">
        <v/>
      </c>
      <c r="F30" s="92">
        <v>0</v>
      </c>
      <c r="G30" s="92">
        <v>0</v>
      </c>
      <c r="H30" s="91">
        <v>0</v>
      </c>
      <c r="I30" s="91">
        <v>0</v>
      </c>
      <c r="J30" s="93">
        <v>0</v>
      </c>
      <c r="K30" s="93">
        <v>0</v>
      </c>
      <c r="L30" s="93" t="str">
        <v/>
      </c>
      <c r="M30" s="93">
        <v>0</v>
      </c>
      <c r="N30" s="94">
        <v>0</v>
      </c>
      <c r="O30" s="94" t="str">
        <v/>
      </c>
      <c r="P30" s="93">
        <v>0</v>
      </c>
      <c r="Q30" s="92">
        <v>0</v>
      </c>
    </row>
    <row r="31" spans="2:20" x14ac:dyDescent="0.25">
      <c r="B31" s="92" t="str">
        <v>Main</v>
      </c>
      <c r="C31" s="90" t="str">
        <v>3 - South; 3rd Floor, 
Mechanical Room 338</v>
      </c>
      <c r="D31" s="91">
        <v>0</v>
      </c>
      <c r="E31" s="92" t="str">
        <v>PRE</v>
      </c>
      <c r="F31" s="92" t="str">
        <v>AHU 10</v>
      </c>
      <c r="G31" s="92" t="str">
        <v>ZLP (MERV 10) Pleat</v>
      </c>
      <c r="H31" s="91">
        <v>0</v>
      </c>
      <c r="I31" s="91">
        <v>0</v>
      </c>
      <c r="J31" s="93" t="str">
        <v>16x25x2</v>
      </c>
      <c r="K31" s="93">
        <v>8</v>
      </c>
      <c r="L31" s="93" t="str">
        <v>90 Days</v>
      </c>
      <c r="M31" s="93">
        <v>28830</v>
      </c>
      <c r="N31" s="94">
        <v>46029</v>
      </c>
      <c r="O31" s="94">
        <v>46119</v>
      </c>
      <c r="P31" s="93">
        <v>28830</v>
      </c>
      <c r="Q31" s="92">
        <v>0</v>
      </c>
    </row>
    <row r="32" spans="2:20" x14ac:dyDescent="0.25">
      <c r="B32" s="92">
        <v>0</v>
      </c>
      <c r="C32" s="90">
        <v>0</v>
      </c>
      <c r="D32" s="91">
        <v>0</v>
      </c>
      <c r="E32" s="92" t="str">
        <v/>
      </c>
      <c r="F32" s="92">
        <v>0</v>
      </c>
      <c r="G32" s="92">
        <v>0</v>
      </c>
      <c r="H32" s="91">
        <v>0</v>
      </c>
      <c r="I32" s="91">
        <v>0</v>
      </c>
      <c r="J32" s="93">
        <v>0</v>
      </c>
      <c r="K32" s="93">
        <v>0</v>
      </c>
      <c r="L32" s="93" t="str">
        <v/>
      </c>
      <c r="M32" s="93">
        <v>0</v>
      </c>
      <c r="N32" s="94">
        <v>0</v>
      </c>
      <c r="O32" s="94" t="str">
        <v/>
      </c>
      <c r="P32" s="93">
        <v>0</v>
      </c>
      <c r="Q32" s="92">
        <v>0</v>
      </c>
    </row>
    <row r="33" spans="2:17" x14ac:dyDescent="0.25">
      <c r="B33" s="92" t="str">
        <v>Main</v>
      </c>
      <c r="C33" s="90" t="str">
        <v xml:space="preserve">2 - South; 2nd Floor, 
Mechanical Room </v>
      </c>
      <c r="D33" s="91">
        <v>0</v>
      </c>
      <c r="E33" s="92" t="str">
        <v>PRE</v>
      </c>
      <c r="F33" s="92" t="str">
        <v>AHU 8</v>
      </c>
      <c r="G33" s="92" t="str">
        <v>ZLP (MERV 10) Pleat</v>
      </c>
      <c r="H33" s="91">
        <v>0</v>
      </c>
      <c r="I33" s="91">
        <v>0</v>
      </c>
      <c r="J33" s="93" t="str">
        <v>16x25x2</v>
      </c>
      <c r="K33" s="93">
        <v>8</v>
      </c>
      <c r="L33" s="93" t="str">
        <v>90 Days</v>
      </c>
      <c r="M33" s="93">
        <v>28830</v>
      </c>
      <c r="N33" s="94">
        <v>46029</v>
      </c>
      <c r="O33" s="94">
        <v>46119</v>
      </c>
      <c r="P33" s="93">
        <v>28830</v>
      </c>
      <c r="Q33" s="92">
        <v>0</v>
      </c>
    </row>
    <row r="34" spans="2:17" x14ac:dyDescent="0.25">
      <c r="B34" s="92">
        <v>0</v>
      </c>
      <c r="C34" s="90">
        <v>0</v>
      </c>
      <c r="D34" s="91">
        <v>0</v>
      </c>
      <c r="E34" s="92" t="str">
        <v/>
      </c>
      <c r="F34" s="92">
        <v>0</v>
      </c>
      <c r="G34" s="92">
        <v>0</v>
      </c>
      <c r="H34" s="91">
        <v>0</v>
      </c>
      <c r="I34" s="91">
        <v>0</v>
      </c>
      <c r="J34" s="93">
        <v>0</v>
      </c>
      <c r="K34" s="93">
        <v>0</v>
      </c>
      <c r="L34" s="93" t="str">
        <v/>
      </c>
      <c r="M34" s="93">
        <v>0</v>
      </c>
      <c r="N34" s="94">
        <v>0</v>
      </c>
      <c r="O34" s="94" t="str">
        <v/>
      </c>
      <c r="P34" s="93">
        <v>0</v>
      </c>
      <c r="Q34" s="92">
        <v>0</v>
      </c>
    </row>
    <row r="35" spans="2:17" x14ac:dyDescent="0.25">
      <c r="B35" s="92" t="str">
        <v>Main</v>
      </c>
      <c r="C35" s="90" t="str">
        <v xml:space="preserve">2 - North; 2nd Floor, 
Mechanical Room </v>
      </c>
      <c r="D35" s="91">
        <v>0</v>
      </c>
      <c r="E35" s="92" t="str">
        <v>PRE</v>
      </c>
      <c r="F35" s="92" t="str">
        <v>AHU 7</v>
      </c>
      <c r="G35" s="92" t="str">
        <v>ZLP (MERV 10) Pleat</v>
      </c>
      <c r="H35" s="91">
        <v>0</v>
      </c>
      <c r="I35" s="91">
        <v>0</v>
      </c>
      <c r="J35" s="93" t="str">
        <v>16x25x2</v>
      </c>
      <c r="K35" s="93">
        <v>8</v>
      </c>
      <c r="L35" s="93" t="str">
        <v>90 Days</v>
      </c>
      <c r="M35" s="93">
        <v>28830</v>
      </c>
      <c r="N35" s="94">
        <v>46029</v>
      </c>
      <c r="O35" s="94">
        <v>46119</v>
      </c>
      <c r="P35" s="93">
        <v>28830</v>
      </c>
      <c r="Q35" s="92">
        <v>0</v>
      </c>
    </row>
    <row r="36" spans="2:17" x14ac:dyDescent="0.25">
      <c r="B36" s="92">
        <v>0</v>
      </c>
      <c r="C36" s="90">
        <v>0</v>
      </c>
      <c r="D36" s="91">
        <v>0</v>
      </c>
      <c r="E36" s="92" t="str">
        <v/>
      </c>
      <c r="F36" s="92">
        <v>0</v>
      </c>
      <c r="G36" s="92">
        <v>0</v>
      </c>
      <c r="H36" s="91">
        <v>0</v>
      </c>
      <c r="I36" s="91">
        <v>0</v>
      </c>
      <c r="J36" s="93">
        <v>0</v>
      </c>
      <c r="K36" s="93">
        <v>0</v>
      </c>
      <c r="L36" s="93" t="str">
        <v/>
      </c>
      <c r="M36" s="93">
        <v>0</v>
      </c>
      <c r="N36" s="94">
        <v>0</v>
      </c>
      <c r="O36" s="94" t="str">
        <v/>
      </c>
      <c r="P36" s="93">
        <v>0</v>
      </c>
      <c r="Q36" s="92">
        <v>0</v>
      </c>
    </row>
    <row r="37" spans="2:17" x14ac:dyDescent="0.25">
      <c r="B37" s="92" t="str">
        <v>Main</v>
      </c>
      <c r="C37" s="90" t="str">
        <v>Outside; Level 2, 
Rooftop (OR)</v>
      </c>
      <c r="D37" s="91">
        <v>0</v>
      </c>
      <c r="E37" s="92" t="str">
        <v>PRE</v>
      </c>
      <c r="F37" s="92" t="str">
        <v>AHU 2A</v>
      </c>
      <c r="G37" s="92" t="str">
        <v>HVP (MERV 10) Pleat</v>
      </c>
      <c r="H37" s="91">
        <v>0</v>
      </c>
      <c r="I37" s="91">
        <v>0</v>
      </c>
      <c r="J37" s="93" t="str">
        <v xml:space="preserve">24x24x4 </v>
      </c>
      <c r="K37" s="93">
        <v>8</v>
      </c>
      <c r="L37" s="93" t="str">
        <v>90 Days</v>
      </c>
      <c r="M37" s="93">
        <v>28830</v>
      </c>
      <c r="N37" s="94">
        <v>46029</v>
      </c>
      <c r="O37" s="94">
        <v>46119</v>
      </c>
      <c r="P37" s="93">
        <v>28830</v>
      </c>
      <c r="Q37" s="92">
        <v>0</v>
      </c>
    </row>
    <row r="38" spans="2:17" x14ac:dyDescent="0.25">
      <c r="B38" s="92" t="str">
        <v>Main</v>
      </c>
      <c r="C38" s="90" t="str">
        <v>Outside; Level 2, 
Rooftop (OR)</v>
      </c>
      <c r="D38" s="91">
        <v>0</v>
      </c>
      <c r="E38" s="92" t="str">
        <v>FINAL</v>
      </c>
      <c r="F38" s="92" t="str">
        <v>AHU 2A</v>
      </c>
      <c r="G38" s="92" t="str">
        <v>MV95</v>
      </c>
      <c r="H38" s="91">
        <v>0</v>
      </c>
      <c r="I38" s="91">
        <v>0</v>
      </c>
      <c r="J38" s="93" t="str">
        <v xml:space="preserve">24x24x12 </v>
      </c>
      <c r="K38" s="93">
        <v>8</v>
      </c>
      <c r="L38" s="93" t="str">
        <v>18 Months</v>
      </c>
      <c r="M38" s="93">
        <v>27627</v>
      </c>
      <c r="N38" s="94">
        <v>45909</v>
      </c>
      <c r="O38" s="94">
        <v>46456</v>
      </c>
      <c r="P38" s="93">
        <v>0</v>
      </c>
      <c r="Q38" s="92">
        <v>0</v>
      </c>
    </row>
    <row r="39" spans="2:17" x14ac:dyDescent="0.25">
      <c r="B39" s="92">
        <v>0</v>
      </c>
      <c r="C39" s="90">
        <v>0</v>
      </c>
      <c r="D39" s="91">
        <v>0</v>
      </c>
      <c r="E39" s="92" t="str">
        <v/>
      </c>
      <c r="F39" s="92">
        <v>0</v>
      </c>
      <c r="G39" s="92">
        <v>0</v>
      </c>
      <c r="H39" s="91">
        <v>0</v>
      </c>
      <c r="I39" s="91">
        <v>0</v>
      </c>
      <c r="J39" s="93">
        <v>0</v>
      </c>
      <c r="K39" s="93">
        <v>0</v>
      </c>
      <c r="L39" s="93" t="str">
        <v/>
      </c>
      <c r="M39" s="93">
        <v>0</v>
      </c>
      <c r="N39" s="94">
        <v>0</v>
      </c>
      <c r="O39" s="94" t="str">
        <v/>
      </c>
      <c r="P39" s="93">
        <v>0</v>
      </c>
      <c r="Q39" s="92">
        <v>0</v>
      </c>
    </row>
    <row r="40" spans="2:17" x14ac:dyDescent="0.25">
      <c r="B40" s="92" t="str">
        <v>Main</v>
      </c>
      <c r="C40" s="90" t="str">
        <v>Next to AHU 2A</v>
      </c>
      <c r="D40" s="91">
        <v>0</v>
      </c>
      <c r="E40" s="92" t="str">
        <v>PRE</v>
      </c>
      <c r="F40" s="92" t="str">
        <v>AHU 6</v>
      </c>
      <c r="G40" s="92" t="str">
        <v>ZLP (MERV 10) Pleat</v>
      </c>
      <c r="H40" s="91">
        <v>0</v>
      </c>
      <c r="I40" s="91">
        <v>0</v>
      </c>
      <c r="J40" s="93" t="str">
        <v>16x25x2</v>
      </c>
      <c r="K40" s="93">
        <v>20</v>
      </c>
      <c r="L40" s="93" t="str">
        <v>90 Days</v>
      </c>
      <c r="M40" s="93">
        <v>28830</v>
      </c>
      <c r="N40" s="94">
        <v>46029</v>
      </c>
      <c r="O40" s="94">
        <v>46119</v>
      </c>
      <c r="P40" s="93">
        <v>28830</v>
      </c>
      <c r="Q40" s="92">
        <v>0</v>
      </c>
    </row>
    <row r="41" spans="2:17" x14ac:dyDescent="0.25">
      <c r="B41" s="92">
        <v>0</v>
      </c>
      <c r="C41" s="90">
        <v>0</v>
      </c>
      <c r="D41" s="91">
        <v>0</v>
      </c>
      <c r="E41" s="92" t="str">
        <v/>
      </c>
      <c r="F41" s="92">
        <v>0</v>
      </c>
      <c r="G41" s="92">
        <v>0</v>
      </c>
      <c r="H41" s="91">
        <v>0</v>
      </c>
      <c r="I41" s="91">
        <v>0</v>
      </c>
      <c r="J41" s="93">
        <v>0</v>
      </c>
      <c r="K41" s="93">
        <v>0</v>
      </c>
      <c r="L41" s="93" t="str">
        <v/>
      </c>
      <c r="M41" s="93">
        <v>0</v>
      </c>
      <c r="N41" s="94">
        <v>0</v>
      </c>
      <c r="O41" s="94" t="str">
        <v/>
      </c>
      <c r="P41" s="93">
        <v>0</v>
      </c>
      <c r="Q41" s="92">
        <v>0</v>
      </c>
    </row>
    <row r="42" spans="2:17" x14ac:dyDescent="0.25">
      <c r="B42" s="92" t="str">
        <v>Main</v>
      </c>
      <c r="C42" s="90" t="str">
        <v xml:space="preserve">3rd Level; Rooftop </v>
      </c>
      <c r="D42" s="91">
        <v>0</v>
      </c>
      <c r="E42" s="92" t="str">
        <v>PRE</v>
      </c>
      <c r="F42" s="92" t="str">
        <v xml:space="preserve">AHU 3 </v>
      </c>
      <c r="G42" s="92" t="str">
        <v>Poly Link, 2-PLY</v>
      </c>
      <c r="H42" s="91">
        <v>0</v>
      </c>
      <c r="I42" s="91">
        <v>0</v>
      </c>
      <c r="J42" s="93" t="str">
        <v xml:space="preserve">25x90 </v>
      </c>
      <c r="K42" s="93">
        <v>4</v>
      </c>
      <c r="L42" s="93" t="str">
        <v>90 Days</v>
      </c>
      <c r="M42" s="93">
        <v>28830</v>
      </c>
      <c r="N42" s="94">
        <v>46029</v>
      </c>
      <c r="O42" s="94">
        <v>46119</v>
      </c>
      <c r="P42" s="93">
        <v>28830</v>
      </c>
      <c r="Q42" s="92">
        <v>0</v>
      </c>
    </row>
    <row r="43" spans="2:17" x14ac:dyDescent="0.25">
      <c r="B43" s="92" t="str">
        <v>Main</v>
      </c>
      <c r="C43" s="90" t="str">
        <v xml:space="preserve">Pham AC Unit; 2nd 
Floor, Aaon Unit </v>
      </c>
      <c r="D43" s="91">
        <v>0</v>
      </c>
      <c r="E43" s="92" t="str">
        <v>PRE</v>
      </c>
      <c r="F43" s="92">
        <v>0</v>
      </c>
      <c r="G43" s="92" t="str">
        <v>M11 (MERV 11) Pleat</v>
      </c>
      <c r="H43" s="91">
        <v>0</v>
      </c>
      <c r="I43" s="91">
        <v>0</v>
      </c>
      <c r="J43" s="93" t="str">
        <v xml:space="preserve">16x20x4 </v>
      </c>
      <c r="K43" s="93">
        <v>4</v>
      </c>
      <c r="L43" s="93" t="str">
        <v>90 Days</v>
      </c>
      <c r="M43" s="93">
        <v>28830</v>
      </c>
      <c r="N43" s="94">
        <v>46029</v>
      </c>
      <c r="O43" s="94">
        <v>46119</v>
      </c>
      <c r="P43" s="93">
        <v>28830</v>
      </c>
      <c r="Q43" s="92">
        <v>0</v>
      </c>
    </row>
    <row r="44" spans="2:17" x14ac:dyDescent="0.25">
      <c r="B44" s="92">
        <v>0</v>
      </c>
      <c r="C44" s="90">
        <v>0</v>
      </c>
      <c r="D44" s="91">
        <v>0</v>
      </c>
      <c r="E44" s="92" t="str">
        <v/>
      </c>
      <c r="F44" s="92">
        <v>0</v>
      </c>
      <c r="G44" s="92">
        <v>0</v>
      </c>
      <c r="H44" s="91">
        <v>0</v>
      </c>
      <c r="I44" s="91">
        <v>0</v>
      </c>
      <c r="J44" s="93">
        <v>0</v>
      </c>
      <c r="K44" s="93">
        <v>0</v>
      </c>
      <c r="L44" s="93" t="str">
        <v/>
      </c>
      <c r="M44" s="93">
        <v>0</v>
      </c>
      <c r="N44" s="94">
        <v>0</v>
      </c>
      <c r="O44" s="94" t="str">
        <v/>
      </c>
      <c r="P44" s="93">
        <v>0</v>
      </c>
      <c r="Q44" s="92">
        <v>0</v>
      </c>
    </row>
    <row r="45" spans="2:17" x14ac:dyDescent="0.25">
      <c r="B45" s="92" t="str">
        <v>Main</v>
      </c>
      <c r="C45" s="90" t="str">
        <v xml:space="preserve">1st Floor </v>
      </c>
      <c r="D45" s="91">
        <v>0</v>
      </c>
      <c r="E45" s="92" t="str">
        <v>PRE</v>
      </c>
      <c r="F45" s="92" t="str">
        <v xml:space="preserve">AHU 2 </v>
      </c>
      <c r="G45" s="92" t="str">
        <v>ZLP (MERV 10) Pleat</v>
      </c>
      <c r="H45" s="91">
        <v>0</v>
      </c>
      <c r="I45" s="91">
        <v>0</v>
      </c>
      <c r="J45" s="93" t="str">
        <v>16x25x2</v>
      </c>
      <c r="K45" s="93">
        <v>6</v>
      </c>
      <c r="L45" s="93" t="str">
        <v>90 Days</v>
      </c>
      <c r="M45" s="93">
        <v>28830</v>
      </c>
      <c r="N45" s="94">
        <v>46029</v>
      </c>
      <c r="O45" s="94">
        <v>46119</v>
      </c>
      <c r="P45" s="93">
        <v>28830</v>
      </c>
      <c r="Q45" s="92">
        <v>0</v>
      </c>
    </row>
    <row r="46" spans="2:17" x14ac:dyDescent="0.25">
      <c r="B46" s="92" t="str">
        <v>Main</v>
      </c>
      <c r="C46" s="90" t="str">
        <v>1st Floor</v>
      </c>
      <c r="D46" s="91">
        <v>0</v>
      </c>
      <c r="E46" s="92" t="str">
        <v>PRE</v>
      </c>
      <c r="F46" s="92" t="str">
        <v>AHU 2</v>
      </c>
      <c r="G46" s="92" t="str">
        <v>ZLP (MERV 10) Pleat</v>
      </c>
      <c r="H46" s="91">
        <v>0</v>
      </c>
      <c r="I46" s="91">
        <v>0</v>
      </c>
      <c r="J46" s="93" t="str">
        <v xml:space="preserve">20x25x2 </v>
      </c>
      <c r="K46" s="93">
        <v>6</v>
      </c>
      <c r="L46" s="93" t="str">
        <v>90 Days</v>
      </c>
      <c r="M46" s="93">
        <v>28830</v>
      </c>
      <c r="N46" s="94">
        <v>46029</v>
      </c>
      <c r="O46" s="94">
        <v>46119</v>
      </c>
      <c r="P46" s="93">
        <v>28830</v>
      </c>
      <c r="Q46" s="92">
        <v>0</v>
      </c>
    </row>
    <row r="47" spans="2:17" x14ac:dyDescent="0.25">
      <c r="B47" s="92" t="str">
        <v>Main</v>
      </c>
      <c r="C47" s="90" t="str">
        <v>1st Floor</v>
      </c>
      <c r="D47" s="91">
        <v>0</v>
      </c>
      <c r="E47" s="92" t="str">
        <v>FINAL</v>
      </c>
      <c r="F47" s="92" t="str">
        <v>AHU 2</v>
      </c>
      <c r="G47" s="92" t="str">
        <v>F8, 4V-Bank Filter</v>
      </c>
      <c r="H47" s="91">
        <v>0</v>
      </c>
      <c r="I47" s="91">
        <v>0</v>
      </c>
      <c r="J47" s="93" t="str">
        <v xml:space="preserve">24x24x12 </v>
      </c>
      <c r="K47" s="93">
        <v>4</v>
      </c>
      <c r="L47" s="93" t="str">
        <v>18 Months</v>
      </c>
      <c r="M47" s="93">
        <v>27627</v>
      </c>
      <c r="N47" s="94">
        <v>45909</v>
      </c>
      <c r="O47" s="94">
        <v>46456</v>
      </c>
      <c r="P47" s="93">
        <v>0</v>
      </c>
      <c r="Q47" s="92">
        <v>0</v>
      </c>
    </row>
    <row r="48" spans="2:17" x14ac:dyDescent="0.25">
      <c r="B48" s="92">
        <v>0</v>
      </c>
      <c r="C48" s="90">
        <v>0</v>
      </c>
      <c r="D48" s="91">
        <v>0</v>
      </c>
      <c r="E48" s="92" t="str">
        <v/>
      </c>
      <c r="F48" s="92">
        <v>0</v>
      </c>
      <c r="G48" s="92">
        <v>0</v>
      </c>
      <c r="H48" s="91">
        <v>0</v>
      </c>
      <c r="I48" s="91">
        <v>0</v>
      </c>
      <c r="J48" s="93">
        <v>0</v>
      </c>
      <c r="K48" s="93">
        <v>0</v>
      </c>
      <c r="L48" s="93" t="str">
        <v/>
      </c>
      <c r="M48" s="93">
        <v>0</v>
      </c>
      <c r="N48" s="94">
        <v>0</v>
      </c>
      <c r="O48" s="94" t="str">
        <v/>
      </c>
      <c r="P48" s="93">
        <v>0</v>
      </c>
      <c r="Q48" s="92">
        <v>0</v>
      </c>
    </row>
    <row r="49" spans="2:17" x14ac:dyDescent="0.25">
      <c r="B49" s="92" t="str">
        <v>Main</v>
      </c>
      <c r="C49" s="90" t="str">
        <v>Level 2; Rooftop (OR)</v>
      </c>
      <c r="D49" s="91">
        <v>0</v>
      </c>
      <c r="E49" s="92" t="str">
        <v>PRE</v>
      </c>
      <c r="F49" s="92" t="str">
        <v>AHU-102</v>
      </c>
      <c r="G49" s="92" t="str">
        <v>HVP (MERV 10) Pleat</v>
      </c>
      <c r="H49" s="91">
        <v>0</v>
      </c>
      <c r="I49" s="91">
        <v>0</v>
      </c>
      <c r="J49" s="93" t="str">
        <v xml:space="preserve">16x20x2  </v>
      </c>
      <c r="K49" s="93">
        <v>4</v>
      </c>
      <c r="L49" s="93" t="str">
        <v>90 Days</v>
      </c>
      <c r="M49" s="93">
        <v>28830</v>
      </c>
      <c r="N49" s="94">
        <v>46029</v>
      </c>
      <c r="O49" s="94">
        <v>46119</v>
      </c>
      <c r="P49" s="93">
        <v>28830</v>
      </c>
      <c r="Q49" s="92">
        <v>0</v>
      </c>
    </row>
    <row r="50" spans="2:17" x14ac:dyDescent="0.25">
      <c r="B50" s="92" t="str">
        <v>Main</v>
      </c>
      <c r="C50" s="90" t="str">
        <v>Level 2; Rooftop (OR)</v>
      </c>
      <c r="D50" s="91">
        <v>0</v>
      </c>
      <c r="E50" s="92" t="str">
        <v>PRE</v>
      </c>
      <c r="F50" s="92" t="str">
        <v>AHU-102</v>
      </c>
      <c r="G50" s="92" t="str">
        <v>HVP (MERV 10) Pleat</v>
      </c>
      <c r="H50" s="91">
        <v>0</v>
      </c>
      <c r="I50" s="91">
        <v>0</v>
      </c>
      <c r="J50" s="93" t="str">
        <v>16x25x2</v>
      </c>
      <c r="K50" s="93">
        <v>4</v>
      </c>
      <c r="L50" s="93" t="str">
        <v>90 Days</v>
      </c>
      <c r="M50" s="93">
        <v>28830</v>
      </c>
      <c r="N50" s="94">
        <v>46029</v>
      </c>
      <c r="O50" s="94">
        <v>46119</v>
      </c>
      <c r="P50" s="93">
        <v>28830</v>
      </c>
      <c r="Q50" s="92">
        <v>0</v>
      </c>
    </row>
    <row r="51" spans="2:17" x14ac:dyDescent="0.25">
      <c r="B51" s="92" t="str">
        <v>Main</v>
      </c>
      <c r="C51" s="90" t="str">
        <v>Level 2; Rooftop (OR)</v>
      </c>
      <c r="D51" s="91">
        <v>0</v>
      </c>
      <c r="E51" s="92" t="str">
        <v>PRE</v>
      </c>
      <c r="F51" s="92" t="str">
        <v>AHU-102</v>
      </c>
      <c r="G51" s="92" t="str">
        <v>HVP (MERV 10) Pleat</v>
      </c>
      <c r="H51" s="91">
        <v>0</v>
      </c>
      <c r="I51" s="91">
        <v>0</v>
      </c>
      <c r="J51" s="93" t="str">
        <v>20x20x2</v>
      </c>
      <c r="K51" s="93">
        <v>2</v>
      </c>
      <c r="L51" s="93" t="str">
        <v>90 Days</v>
      </c>
      <c r="M51" s="93">
        <v>28830</v>
      </c>
      <c r="N51" s="94">
        <v>46029</v>
      </c>
      <c r="O51" s="94">
        <v>46119</v>
      </c>
      <c r="P51" s="93">
        <v>28830</v>
      </c>
      <c r="Q51" s="92">
        <v>0</v>
      </c>
    </row>
    <row r="52" spans="2:17" x14ac:dyDescent="0.25">
      <c r="B52" s="92" t="str">
        <v>Main</v>
      </c>
      <c r="C52" s="90" t="str">
        <v>Level 2; Rooftop (OR)</v>
      </c>
      <c r="D52" s="91">
        <v>0</v>
      </c>
      <c r="E52" s="92" t="str">
        <v>PRE</v>
      </c>
      <c r="F52" s="92" t="str">
        <v>AHU-102</v>
      </c>
      <c r="G52" s="92" t="str">
        <v>HVP (MERV 10) Pleat</v>
      </c>
      <c r="H52" s="91">
        <v>0</v>
      </c>
      <c r="I52" s="91">
        <v>0</v>
      </c>
      <c r="J52" s="93" t="str">
        <v xml:space="preserve">20x25x2 </v>
      </c>
      <c r="K52" s="93">
        <v>2</v>
      </c>
      <c r="L52" s="93" t="str">
        <v>90 Days</v>
      </c>
      <c r="M52" s="93">
        <v>28830</v>
      </c>
      <c r="N52" s="94">
        <v>46029</v>
      </c>
      <c r="O52" s="94">
        <v>46119</v>
      </c>
      <c r="P52" s="93">
        <v>28830</v>
      </c>
      <c r="Q52" s="92">
        <v>0</v>
      </c>
    </row>
    <row r="53" spans="2:17" ht="14.3" customHeight="1" x14ac:dyDescent="0.25">
      <c r="B53" s="92" t="str">
        <v>Main</v>
      </c>
      <c r="C53" s="90" t="str">
        <v>Level 2; Rooftop (OR)</v>
      </c>
      <c r="D53" s="91">
        <v>0</v>
      </c>
      <c r="E53" s="92" t="str">
        <v>FINAL</v>
      </c>
      <c r="F53" s="92" t="str">
        <v>AHU-102</v>
      </c>
      <c r="G53" s="92" t="str">
        <v>MV95</v>
      </c>
      <c r="H53" s="91">
        <v>0</v>
      </c>
      <c r="I53" s="91">
        <v>0</v>
      </c>
      <c r="J53" s="93" t="str">
        <v>24x24x12</v>
      </c>
      <c r="K53" s="93">
        <v>6</v>
      </c>
      <c r="L53" s="93" t="str">
        <v>18 Months</v>
      </c>
      <c r="M53" s="93">
        <v>27627</v>
      </c>
      <c r="N53" s="94">
        <v>45909</v>
      </c>
      <c r="O53" s="94">
        <v>46456</v>
      </c>
      <c r="P53" s="93">
        <v>0</v>
      </c>
      <c r="Q53" s="92">
        <v>0</v>
      </c>
    </row>
    <row r="54" spans="2:17" x14ac:dyDescent="0.25">
      <c r="B54" s="92">
        <v>0</v>
      </c>
      <c r="C54" s="90">
        <v>0</v>
      </c>
      <c r="D54" s="91">
        <v>0</v>
      </c>
      <c r="E54" s="92" t="str">
        <v/>
      </c>
      <c r="F54" s="92">
        <v>0</v>
      </c>
      <c r="G54" s="92">
        <v>0</v>
      </c>
      <c r="H54" s="91">
        <v>0</v>
      </c>
      <c r="I54" s="91">
        <v>0</v>
      </c>
      <c r="J54" s="93">
        <v>0</v>
      </c>
      <c r="K54" s="93">
        <v>0</v>
      </c>
      <c r="L54" s="93" t="str">
        <v/>
      </c>
      <c r="M54" s="93">
        <v>0</v>
      </c>
      <c r="N54" s="94">
        <v>0</v>
      </c>
      <c r="O54" s="94" t="str">
        <v/>
      </c>
      <c r="P54" s="93">
        <v>0</v>
      </c>
      <c r="Q54" s="92">
        <v>0</v>
      </c>
    </row>
    <row r="55" spans="2:17" x14ac:dyDescent="0.25">
      <c r="B55" s="92" t="str">
        <v>Main</v>
      </c>
      <c r="C55" s="90" t="str">
        <v>Level 2; Rooftop</v>
      </c>
      <c r="D55" s="91">
        <v>0</v>
      </c>
      <c r="E55" s="92" t="str">
        <v>PRE</v>
      </c>
      <c r="F55" s="92" t="str">
        <v>AHU 101</v>
      </c>
      <c r="G55" s="92" t="str">
        <v>ZLP (MERV 10) Pleat</v>
      </c>
      <c r="H55" s="91">
        <v>0</v>
      </c>
      <c r="I55" s="91">
        <v>0</v>
      </c>
      <c r="J55" s="93" t="str">
        <v>24x24x2</v>
      </c>
      <c r="K55" s="93">
        <v>6</v>
      </c>
      <c r="L55" s="93" t="str">
        <v>90 Days</v>
      </c>
      <c r="M55" s="93">
        <v>28830</v>
      </c>
      <c r="N55" s="94">
        <v>46029</v>
      </c>
      <c r="O55" s="94">
        <v>46119</v>
      </c>
      <c r="P55" s="93">
        <v>28830</v>
      </c>
      <c r="Q55" s="92">
        <v>0</v>
      </c>
    </row>
    <row r="56" spans="2:17" x14ac:dyDescent="0.25">
      <c r="B56" s="92" t="str">
        <v>Main</v>
      </c>
      <c r="C56" s="90" t="str">
        <v>Level 2; Rooftop</v>
      </c>
      <c r="D56" s="91">
        <v>0</v>
      </c>
      <c r="E56" s="92" t="str">
        <v>PRE</v>
      </c>
      <c r="F56" s="92" t="str">
        <v>AHU 101</v>
      </c>
      <c r="G56" s="92" t="str">
        <v>ZLP (MERV 10) Pleat</v>
      </c>
      <c r="H56" s="91">
        <v>0</v>
      </c>
      <c r="I56" s="91">
        <v>0</v>
      </c>
      <c r="J56" s="93" t="str">
        <v>12x24x2</v>
      </c>
      <c r="K56" s="93">
        <v>3</v>
      </c>
      <c r="L56" s="93" t="str">
        <v>90 Days</v>
      </c>
      <c r="M56" s="93">
        <v>28830</v>
      </c>
      <c r="N56" s="94">
        <v>46029</v>
      </c>
      <c r="O56" s="94">
        <v>46119</v>
      </c>
      <c r="P56" s="93">
        <v>28830</v>
      </c>
      <c r="Q56" s="92">
        <v>0</v>
      </c>
    </row>
    <row r="57" spans="2:17" x14ac:dyDescent="0.25">
      <c r="B57" s="92" t="str">
        <v>Main</v>
      </c>
      <c r="C57" s="90" t="str">
        <v>Level 2; Rooftop</v>
      </c>
      <c r="D57" s="91">
        <v>0</v>
      </c>
      <c r="E57" s="92" t="str">
        <v xml:space="preserve">FINAL - 
COLD DECK </v>
      </c>
      <c r="F57" s="92" t="str">
        <v>AHU 101</v>
      </c>
      <c r="G57" s="92" t="str">
        <v>F8, 4V-Bank Filter</v>
      </c>
      <c r="H57" s="91">
        <v>0</v>
      </c>
      <c r="I57" s="91">
        <v>0</v>
      </c>
      <c r="J57" s="93" t="str">
        <v xml:space="preserve">24x24x12 </v>
      </c>
      <c r="K57" s="93">
        <v>4</v>
      </c>
      <c r="L57" s="93" t="str">
        <v>18 Months</v>
      </c>
      <c r="M57" s="93">
        <v>27627</v>
      </c>
      <c r="N57" s="94">
        <v>45909</v>
      </c>
      <c r="O57" s="94">
        <v>46456</v>
      </c>
      <c r="P57" s="93">
        <v>0</v>
      </c>
      <c r="Q57" s="92">
        <v>0</v>
      </c>
    </row>
    <row r="58" spans="2:17" x14ac:dyDescent="0.25">
      <c r="B58" s="92" t="str">
        <v>Main</v>
      </c>
      <c r="C58" s="90" t="str">
        <v>Level 2; Rooftop</v>
      </c>
      <c r="D58" s="91">
        <v>0</v>
      </c>
      <c r="E58" s="92" t="str">
        <v xml:space="preserve">FINAL - 
COLD DECK </v>
      </c>
      <c r="F58" s="92" t="str">
        <v>AHU 101</v>
      </c>
      <c r="G58" s="92" t="str">
        <v>F8, 4V-Bank Filter</v>
      </c>
      <c r="H58" s="91">
        <v>0</v>
      </c>
      <c r="I58" s="91">
        <v>0</v>
      </c>
      <c r="J58" s="93" t="str">
        <v xml:space="preserve">12x24x12 </v>
      </c>
      <c r="K58" s="93">
        <v>4</v>
      </c>
      <c r="L58" s="93" t="str">
        <v>18 Months</v>
      </c>
      <c r="M58" s="93">
        <v>27627</v>
      </c>
      <c r="N58" s="94">
        <v>45909</v>
      </c>
      <c r="O58" s="94">
        <v>46456</v>
      </c>
      <c r="P58" s="93">
        <v>0</v>
      </c>
      <c r="Q58" s="92">
        <v>0</v>
      </c>
    </row>
    <row r="59" spans="2:17" x14ac:dyDescent="0.25">
      <c r="B59" s="92" t="str">
        <v>Main</v>
      </c>
      <c r="C59" s="90" t="str">
        <v>Level 2; Rooftop</v>
      </c>
      <c r="D59" s="91">
        <v>0</v>
      </c>
      <c r="E59" s="92" t="str">
        <v xml:space="preserve">FINAL - 
HOT DECK </v>
      </c>
      <c r="F59" s="92" t="str">
        <v>AHU 101</v>
      </c>
      <c r="G59" s="92" t="str">
        <v>MV95</v>
      </c>
      <c r="H59" s="91">
        <v>0</v>
      </c>
      <c r="I59" s="91">
        <v>0</v>
      </c>
      <c r="J59" s="93" t="str">
        <v xml:space="preserve">24x24x12 </v>
      </c>
      <c r="K59" s="93">
        <v>4</v>
      </c>
      <c r="L59" s="93" t="str">
        <v>18 Months</v>
      </c>
      <c r="M59" s="93">
        <v>27627</v>
      </c>
      <c r="N59" s="94">
        <v>45909</v>
      </c>
      <c r="O59" s="94">
        <v>46456</v>
      </c>
      <c r="P59" s="93">
        <v>0</v>
      </c>
      <c r="Q59" s="92">
        <v>0</v>
      </c>
    </row>
    <row r="60" spans="2:17" x14ac:dyDescent="0.25">
      <c r="B60" s="92">
        <v>0</v>
      </c>
      <c r="C60" s="90">
        <v>0</v>
      </c>
      <c r="D60" s="91">
        <v>0</v>
      </c>
      <c r="E60" s="92" t="str">
        <v/>
      </c>
      <c r="F60" s="92">
        <v>0</v>
      </c>
      <c r="G60" s="92">
        <v>0</v>
      </c>
      <c r="H60" s="91">
        <v>0</v>
      </c>
      <c r="I60" s="91">
        <v>0</v>
      </c>
      <c r="J60" s="93">
        <v>0</v>
      </c>
      <c r="K60" s="93">
        <v>0</v>
      </c>
      <c r="L60" s="93" t="str">
        <v/>
      </c>
      <c r="M60" s="93">
        <v>0</v>
      </c>
      <c r="N60" s="94">
        <v>0</v>
      </c>
      <c r="O60" s="94" t="str">
        <v/>
      </c>
      <c r="P60" s="93">
        <v>0</v>
      </c>
      <c r="Q60" s="92">
        <v>0</v>
      </c>
    </row>
    <row r="61" spans="2:17" x14ac:dyDescent="0.25">
      <c r="B61" s="92" t="str">
        <v>Main</v>
      </c>
      <c r="C61" s="90" t="str">
        <v>Roof Top</v>
      </c>
      <c r="D61" s="91">
        <v>0</v>
      </c>
      <c r="E61" s="92" t="str">
        <v>PRE</v>
      </c>
      <c r="F61" s="92" t="str">
        <v>Pace #1</v>
      </c>
      <c r="G61" s="92" t="str">
        <v>ZLP (MERV 10) Pleat</v>
      </c>
      <c r="H61" s="91">
        <v>0</v>
      </c>
      <c r="I61" s="91">
        <v>0</v>
      </c>
      <c r="J61" s="93" t="str">
        <v xml:space="preserve">20x25x2 </v>
      </c>
      <c r="K61" s="93">
        <v>4</v>
      </c>
      <c r="L61" s="93" t="str">
        <v>90 Days</v>
      </c>
      <c r="M61" s="93">
        <v>28830</v>
      </c>
      <c r="N61" s="94">
        <v>46029</v>
      </c>
      <c r="O61" s="94">
        <v>46119</v>
      </c>
      <c r="P61" s="93">
        <v>28830</v>
      </c>
      <c r="Q61" s="92">
        <v>0</v>
      </c>
    </row>
    <row r="62" spans="2:17" x14ac:dyDescent="0.25">
      <c r="B62" s="92" t="str">
        <v>Main</v>
      </c>
      <c r="C62" s="90" t="str">
        <v>Roof Top</v>
      </c>
      <c r="D62" s="91">
        <v>0</v>
      </c>
      <c r="E62" s="92" t="str">
        <v>FINAL</v>
      </c>
      <c r="F62" s="92" t="str">
        <v>Pace #1</v>
      </c>
      <c r="G62" s="92" t="str">
        <v>F8, 4V-Bank Filter</v>
      </c>
      <c r="H62" s="91">
        <v>0</v>
      </c>
      <c r="I62" s="91">
        <v>0</v>
      </c>
      <c r="J62" s="93" t="str">
        <v xml:space="preserve">24x24x12 </v>
      </c>
      <c r="K62" s="93">
        <v>2</v>
      </c>
      <c r="L62" s="93" t="str">
        <v>18 Months</v>
      </c>
      <c r="M62" s="93">
        <v>27627</v>
      </c>
      <c r="N62" s="94">
        <v>45909</v>
      </c>
      <c r="O62" s="94">
        <v>46456</v>
      </c>
      <c r="P62" s="93">
        <v>0</v>
      </c>
      <c r="Q62" s="92">
        <v>0</v>
      </c>
    </row>
    <row r="63" spans="2:17" x14ac:dyDescent="0.25">
      <c r="B63" s="92" t="str">
        <v>Main</v>
      </c>
      <c r="C63" s="90" t="str">
        <v>Roof Top</v>
      </c>
      <c r="D63" s="91">
        <v>0</v>
      </c>
      <c r="E63" s="92" t="str">
        <v>FINAL</v>
      </c>
      <c r="F63" s="92" t="str">
        <v>Pace #1</v>
      </c>
      <c r="G63" s="92" t="str">
        <v>F8, 4V-Bank Filter</v>
      </c>
      <c r="H63" s="91">
        <v>0</v>
      </c>
      <c r="I63" s="91">
        <v>0</v>
      </c>
      <c r="J63" s="93" t="str">
        <v xml:space="preserve">12x24x12 </v>
      </c>
      <c r="K63" s="93">
        <v>2</v>
      </c>
      <c r="L63" s="93" t="str">
        <v>18 Months</v>
      </c>
      <c r="M63" s="93">
        <v>27627</v>
      </c>
      <c r="N63" s="94">
        <v>45909</v>
      </c>
      <c r="O63" s="94">
        <v>46456</v>
      </c>
      <c r="P63" s="93">
        <v>0</v>
      </c>
      <c r="Q63" s="92">
        <v>0</v>
      </c>
    </row>
    <row r="64" spans="2:17" x14ac:dyDescent="0.25">
      <c r="B64" s="92">
        <v>0</v>
      </c>
      <c r="C64" s="90">
        <v>0</v>
      </c>
      <c r="D64" s="91">
        <v>0</v>
      </c>
      <c r="E64" s="92" t="str">
        <v/>
      </c>
      <c r="F64" s="92">
        <v>0</v>
      </c>
      <c r="G64" s="92">
        <v>0</v>
      </c>
      <c r="H64" s="91">
        <v>0</v>
      </c>
      <c r="I64" s="91">
        <v>0</v>
      </c>
      <c r="J64" s="93">
        <v>0</v>
      </c>
      <c r="K64" s="93">
        <v>0</v>
      </c>
      <c r="L64" s="93" t="str">
        <v/>
      </c>
      <c r="M64" s="93">
        <v>0</v>
      </c>
      <c r="N64" s="94">
        <v>0</v>
      </c>
      <c r="O64" s="94" t="str">
        <v/>
      </c>
      <c r="P64" s="93">
        <v>0</v>
      </c>
      <c r="Q64" s="92">
        <v>0</v>
      </c>
    </row>
    <row r="65" spans="2:17" x14ac:dyDescent="0.25">
      <c r="B65" s="92" t="str">
        <v>Main</v>
      </c>
      <c r="C65" s="90" t="str">
        <v>Roof Top</v>
      </c>
      <c r="D65" s="91">
        <v>0</v>
      </c>
      <c r="E65" s="92" t="str">
        <v>PRE</v>
      </c>
      <c r="F65" s="92" t="str">
        <v xml:space="preserve">AHU 1 </v>
      </c>
      <c r="G65" s="92" t="str">
        <v>ZLP (MERV 10) Pleat</v>
      </c>
      <c r="H65" s="91">
        <v>0</v>
      </c>
      <c r="I65" s="91">
        <v>0</v>
      </c>
      <c r="J65" s="93" t="str">
        <v>20x25x2</v>
      </c>
      <c r="K65" s="93">
        <v>9</v>
      </c>
      <c r="L65" s="93" t="str">
        <v>90 Days</v>
      </c>
      <c r="M65" s="93">
        <v>28830</v>
      </c>
      <c r="N65" s="94">
        <v>46029</v>
      </c>
      <c r="O65" s="94">
        <v>46119</v>
      </c>
      <c r="P65" s="93">
        <v>28830</v>
      </c>
      <c r="Q65" s="92">
        <v>0</v>
      </c>
    </row>
    <row r="66" spans="2:17" x14ac:dyDescent="0.25">
      <c r="B66" s="92" t="str">
        <v>Main</v>
      </c>
      <c r="C66" s="90" t="str">
        <v>Roof Top</v>
      </c>
      <c r="D66" s="91">
        <v>0</v>
      </c>
      <c r="E66" s="92" t="str">
        <v>FINAL</v>
      </c>
      <c r="F66" s="92" t="str">
        <v>AHU 1</v>
      </c>
      <c r="G66" s="92" t="str">
        <v>F8, 4V-Bank Filter</v>
      </c>
      <c r="H66" s="91">
        <v>0</v>
      </c>
      <c r="I66" s="91">
        <v>0</v>
      </c>
      <c r="J66" s="93" t="str">
        <v xml:space="preserve">24x24x12 </v>
      </c>
      <c r="K66" s="93">
        <v>3</v>
      </c>
      <c r="L66" s="93" t="str">
        <v>18 Months</v>
      </c>
      <c r="M66" s="93">
        <v>27627</v>
      </c>
      <c r="N66" s="94">
        <v>45909</v>
      </c>
      <c r="O66" s="94">
        <v>46456</v>
      </c>
      <c r="P66" s="93">
        <v>0</v>
      </c>
      <c r="Q66" s="92">
        <v>0</v>
      </c>
    </row>
    <row r="67" spans="2:17" x14ac:dyDescent="0.25">
      <c r="B67" s="92" t="str">
        <v>Main</v>
      </c>
      <c r="C67" s="90" t="str">
        <v>Roof Top</v>
      </c>
      <c r="D67" s="91">
        <v>0</v>
      </c>
      <c r="E67" s="92" t="str">
        <v>FINAL</v>
      </c>
      <c r="F67" s="92" t="str">
        <v>AHU 1</v>
      </c>
      <c r="G67" s="92" t="str">
        <v>F8, 4V-Bank Filter</v>
      </c>
      <c r="H67" s="91">
        <v>0</v>
      </c>
      <c r="I67" s="91">
        <v>0</v>
      </c>
      <c r="J67" s="93" t="str">
        <v xml:space="preserve">12x24x12 </v>
      </c>
      <c r="K67" s="93">
        <v>3</v>
      </c>
      <c r="L67" s="93" t="str">
        <v>18 Months</v>
      </c>
      <c r="M67" s="93">
        <v>27627</v>
      </c>
      <c r="N67" s="94">
        <v>45909</v>
      </c>
      <c r="O67" s="94">
        <v>46456</v>
      </c>
      <c r="P67" s="93">
        <v>0</v>
      </c>
      <c r="Q67" s="92">
        <v>0</v>
      </c>
    </row>
    <row r="68" spans="2:17" x14ac:dyDescent="0.25">
      <c r="B68" s="92">
        <v>0</v>
      </c>
      <c r="C68" s="90">
        <v>0</v>
      </c>
      <c r="D68" s="91">
        <v>0</v>
      </c>
      <c r="E68" s="92" t="str">
        <v/>
      </c>
      <c r="F68" s="92">
        <v>0</v>
      </c>
      <c r="G68" s="92">
        <v>0</v>
      </c>
      <c r="H68" s="91">
        <v>0</v>
      </c>
      <c r="I68" s="91">
        <v>0</v>
      </c>
      <c r="J68" s="93">
        <v>0</v>
      </c>
      <c r="K68" s="93">
        <v>0</v>
      </c>
      <c r="L68" s="93" t="str">
        <v/>
      </c>
      <c r="M68" s="93">
        <v>0</v>
      </c>
      <c r="N68" s="94">
        <v>0</v>
      </c>
      <c r="O68" s="94" t="str">
        <v/>
      </c>
      <c r="P68" s="93">
        <v>0</v>
      </c>
      <c r="Q68" s="92">
        <v>0</v>
      </c>
    </row>
    <row r="69" spans="2:17" x14ac:dyDescent="0.25">
      <c r="B69" s="92" t="str">
        <v>Main</v>
      </c>
      <c r="C69" s="90">
        <v>0</v>
      </c>
      <c r="D69" s="91">
        <v>0</v>
      </c>
      <c r="E69" s="92" t="str">
        <v>PRE</v>
      </c>
      <c r="F69" s="92" t="str">
        <v>AHU 100</v>
      </c>
      <c r="G69" s="92" t="str">
        <v>Poly Panels, 2-PLY</v>
      </c>
      <c r="H69" s="91">
        <v>0</v>
      </c>
      <c r="I69" s="91">
        <v>0</v>
      </c>
      <c r="J69" s="93" t="str">
        <v xml:space="preserve">24x24 </v>
      </c>
      <c r="K69" s="93">
        <v>12</v>
      </c>
      <c r="L69" s="93" t="str">
        <v>Removed</v>
      </c>
      <c r="M69" s="93">
        <v>27249</v>
      </c>
      <c r="N69" s="94">
        <v>45840</v>
      </c>
      <c r="O69" s="94" t="str">
        <v/>
      </c>
      <c r="P69" s="93">
        <v>0</v>
      </c>
      <c r="Q69" s="92" t="str">
        <v>90 Days</v>
      </c>
    </row>
    <row r="70" spans="2:17" x14ac:dyDescent="0.25">
      <c r="B70" s="92" t="str">
        <v>Main</v>
      </c>
      <c r="C70" s="90">
        <v>0</v>
      </c>
      <c r="D70" s="91">
        <v>0</v>
      </c>
      <c r="E70" s="92" t="str">
        <v>FINAL</v>
      </c>
      <c r="F70" s="92" t="str">
        <v>AHU 100</v>
      </c>
      <c r="G70" s="92" t="str">
        <v>F8, 4V-Bank Filter</v>
      </c>
      <c r="H70" s="91">
        <v>0</v>
      </c>
      <c r="I70" s="91">
        <v>0</v>
      </c>
      <c r="J70" s="93" t="str">
        <v xml:space="preserve">24x24x12 </v>
      </c>
      <c r="K70" s="93">
        <v>12</v>
      </c>
      <c r="L70" s="93" t="str">
        <v>18 Months</v>
      </c>
      <c r="M70" s="93">
        <v>27627</v>
      </c>
      <c r="N70" s="94">
        <v>45909</v>
      </c>
      <c r="O70" s="94">
        <v>46456</v>
      </c>
      <c r="P70" s="93">
        <v>0</v>
      </c>
      <c r="Q70" s="92">
        <v>0</v>
      </c>
    </row>
    <row r="71" spans="2:17" x14ac:dyDescent="0.25">
      <c r="B71" s="92">
        <v>0</v>
      </c>
      <c r="C71" s="90">
        <v>0</v>
      </c>
      <c r="D71" s="91">
        <v>0</v>
      </c>
      <c r="E71" s="92" t="str">
        <v/>
      </c>
      <c r="F71" s="92">
        <v>0</v>
      </c>
      <c r="G71" s="92">
        <v>0</v>
      </c>
      <c r="H71" s="91">
        <v>0</v>
      </c>
      <c r="I71" s="91">
        <v>0</v>
      </c>
      <c r="J71" s="93">
        <v>0</v>
      </c>
      <c r="K71" s="93">
        <v>0</v>
      </c>
      <c r="L71" s="93" t="str">
        <v/>
      </c>
      <c r="M71" s="93">
        <v>0</v>
      </c>
      <c r="N71" s="94">
        <v>0</v>
      </c>
      <c r="O71" s="94" t="str">
        <v/>
      </c>
      <c r="P71" s="93">
        <v>0</v>
      </c>
      <c r="Q71" s="92">
        <v>0</v>
      </c>
    </row>
    <row r="72" spans="2:17" x14ac:dyDescent="0.25">
      <c r="B72" s="92" t="str">
        <v>Main</v>
      </c>
      <c r="C72" s="90" t="str">
        <v>RTU-1</v>
      </c>
      <c r="D72" s="91">
        <v>0</v>
      </c>
      <c r="E72" s="92" t="str">
        <v>PRE</v>
      </c>
      <c r="F72" s="92">
        <v>0</v>
      </c>
      <c r="G72" s="92" t="str">
        <v>ZLP (MERV 10) Pleat</v>
      </c>
      <c r="H72" s="91">
        <v>0</v>
      </c>
      <c r="I72" s="91">
        <v>0</v>
      </c>
      <c r="J72" s="93" t="str">
        <v>20x20x2</v>
      </c>
      <c r="K72" s="93">
        <v>2</v>
      </c>
      <c r="L72" s="93" t="str">
        <v>90 Days</v>
      </c>
      <c r="M72" s="93">
        <v>28830</v>
      </c>
      <c r="N72" s="94">
        <v>46029</v>
      </c>
      <c r="O72" s="94">
        <v>46119</v>
      </c>
      <c r="P72" s="93">
        <v>28830</v>
      </c>
      <c r="Q72" s="92">
        <v>0</v>
      </c>
    </row>
    <row r="73" spans="2:17" x14ac:dyDescent="0.25">
      <c r="B73" s="92">
        <v>0</v>
      </c>
      <c r="C73" s="90">
        <v>0</v>
      </c>
      <c r="D73" s="91">
        <v>0</v>
      </c>
      <c r="E73" s="92" t="str">
        <v/>
      </c>
      <c r="F73" s="92">
        <v>0</v>
      </c>
      <c r="G73" s="92">
        <v>0</v>
      </c>
      <c r="H73" s="91">
        <v>0</v>
      </c>
      <c r="I73" s="91">
        <v>0</v>
      </c>
      <c r="J73" s="93">
        <v>0</v>
      </c>
      <c r="K73" s="93">
        <v>0</v>
      </c>
      <c r="L73" s="93" t="str">
        <v/>
      </c>
      <c r="M73" s="93">
        <v>0</v>
      </c>
      <c r="N73" s="94">
        <v>0</v>
      </c>
      <c r="O73" s="94" t="str">
        <v/>
      </c>
      <c r="P73" s="93">
        <v>0</v>
      </c>
      <c r="Q73" s="92">
        <v>0</v>
      </c>
    </row>
    <row r="74" spans="2:17" x14ac:dyDescent="0.25">
      <c r="B74" s="92" t="str">
        <v>Main</v>
      </c>
      <c r="C74" s="90" t="str">
        <v>AHU for Main Lobby</v>
      </c>
      <c r="D74" s="91">
        <v>0</v>
      </c>
      <c r="E74" s="92" t="str">
        <v>PRE</v>
      </c>
      <c r="F74" s="92">
        <v>0</v>
      </c>
      <c r="G74" s="92" t="str">
        <v>ZLP (MERV 10) Pleat</v>
      </c>
      <c r="H74" s="91">
        <v>0</v>
      </c>
      <c r="I74" s="91">
        <v>0</v>
      </c>
      <c r="J74" s="93" t="str">
        <v>20x20x2</v>
      </c>
      <c r="K74" s="93">
        <v>2</v>
      </c>
      <c r="L74" s="93" t="str">
        <v>90 Days</v>
      </c>
      <c r="M74" s="93">
        <v>28830</v>
      </c>
      <c r="N74" s="94">
        <v>46029</v>
      </c>
      <c r="O74" s="94">
        <v>46119</v>
      </c>
      <c r="P74" s="93">
        <v>28830</v>
      </c>
      <c r="Q74" s="92">
        <v>0</v>
      </c>
    </row>
    <row r="75" spans="2:17" x14ac:dyDescent="0.25">
      <c r="B75" s="92" t="str">
        <v>Main</v>
      </c>
      <c r="C75" s="90" t="str">
        <v>AHU for Main Lobby</v>
      </c>
      <c r="D75" s="91">
        <v>0</v>
      </c>
      <c r="E75" s="92" t="str">
        <v>PRE</v>
      </c>
      <c r="F75" s="92">
        <v>0</v>
      </c>
      <c r="G75" s="92" t="str">
        <v>ZLP (MERV 10) Pleat</v>
      </c>
      <c r="H75" s="91">
        <v>0</v>
      </c>
      <c r="I75" s="91">
        <v>0</v>
      </c>
      <c r="J75" s="93" t="str">
        <v xml:space="preserve">20x25x2 </v>
      </c>
      <c r="K75" s="93">
        <v>2</v>
      </c>
      <c r="L75" s="93" t="str">
        <v>90 Days</v>
      </c>
      <c r="M75" s="93">
        <v>28830</v>
      </c>
      <c r="N75" s="94">
        <v>46029</v>
      </c>
      <c r="O75" s="94">
        <v>46119</v>
      </c>
      <c r="P75" s="93">
        <v>28830</v>
      </c>
      <c r="Q75" s="92">
        <v>0</v>
      </c>
    </row>
    <row r="76" spans="2:17" x14ac:dyDescent="0.25">
      <c r="B76" s="92" t="str">
        <v>Main</v>
      </c>
      <c r="C76" s="90" t="str">
        <v>AHU for Main Lobby</v>
      </c>
      <c r="D76" s="91">
        <v>0</v>
      </c>
      <c r="E76" s="92" t="str">
        <v>PRE</v>
      </c>
      <c r="F76" s="92">
        <v>0</v>
      </c>
      <c r="G76" s="92" t="str">
        <v>ZLP (MERV 10) Pleat</v>
      </c>
      <c r="H76" s="91">
        <v>0</v>
      </c>
      <c r="I76" s="91">
        <v>0</v>
      </c>
      <c r="J76" s="93" t="str">
        <v xml:space="preserve">16x20x2 </v>
      </c>
      <c r="K76" s="93">
        <v>2</v>
      </c>
      <c r="L76" s="93" t="str">
        <v>90 Days</v>
      </c>
      <c r="M76" s="93">
        <v>28830</v>
      </c>
      <c r="N76" s="94">
        <v>46029</v>
      </c>
      <c r="O76" s="94">
        <v>46119</v>
      </c>
      <c r="P76" s="93">
        <v>28830</v>
      </c>
      <c r="Q76" s="92">
        <v>0</v>
      </c>
    </row>
    <row r="77" spans="2:17" x14ac:dyDescent="0.25">
      <c r="B77" s="92" t="str">
        <v>Main</v>
      </c>
      <c r="C77" s="90" t="str">
        <v>AHU for Main Lobby</v>
      </c>
      <c r="D77" s="91">
        <v>0</v>
      </c>
      <c r="E77" s="92" t="str">
        <v>PRE</v>
      </c>
      <c r="F77" s="92">
        <v>0</v>
      </c>
      <c r="G77" s="92" t="str">
        <v>ZLP (MERV 10) Pleat</v>
      </c>
      <c r="H77" s="91">
        <v>0</v>
      </c>
      <c r="I77" s="91">
        <v>0</v>
      </c>
      <c r="J77" s="93" t="str">
        <v xml:space="preserve">16x25x2 </v>
      </c>
      <c r="K77" s="93">
        <v>2</v>
      </c>
      <c r="L77" s="93" t="str">
        <v>90 Days</v>
      </c>
      <c r="M77" s="93">
        <v>28830</v>
      </c>
      <c r="N77" s="94">
        <v>46029</v>
      </c>
      <c r="O77" s="94">
        <v>46119</v>
      </c>
      <c r="P77" s="93">
        <v>28830</v>
      </c>
      <c r="Q77" s="92">
        <v>0</v>
      </c>
    </row>
    <row r="78" spans="2:17" x14ac:dyDescent="0.25">
      <c r="B78" s="92">
        <v>0</v>
      </c>
      <c r="C78" s="90">
        <v>0</v>
      </c>
      <c r="D78" s="91">
        <v>0</v>
      </c>
      <c r="E78" s="92" t="str">
        <v/>
      </c>
      <c r="F78" s="92">
        <v>0</v>
      </c>
      <c r="G78" s="92">
        <v>0</v>
      </c>
      <c r="H78" s="91">
        <v>0</v>
      </c>
      <c r="I78" s="91">
        <v>0</v>
      </c>
      <c r="J78" s="93">
        <v>0</v>
      </c>
      <c r="K78" s="93">
        <v>0</v>
      </c>
      <c r="L78" s="93" t="str">
        <v/>
      </c>
      <c r="M78" s="93">
        <v>0</v>
      </c>
      <c r="N78" s="94">
        <v>0</v>
      </c>
      <c r="O78" s="94" t="str">
        <v/>
      </c>
      <c r="P78" s="93">
        <v>0</v>
      </c>
      <c r="Q78" s="92">
        <v>0</v>
      </c>
    </row>
    <row r="79" spans="2:17" x14ac:dyDescent="0.25">
      <c r="B79" s="92" t="str">
        <v>Main</v>
      </c>
      <c r="C79" s="90" t="str">
        <v>Roof PH</v>
      </c>
      <c r="D79" s="91">
        <v>0</v>
      </c>
      <c r="E79" s="92" t="str">
        <v>PRE</v>
      </c>
      <c r="F79" s="92" t="str">
        <v>AH1</v>
      </c>
      <c r="G79" s="92" t="str">
        <v>ZLP (MERV 10) Pleat</v>
      </c>
      <c r="H79" s="91">
        <v>0</v>
      </c>
      <c r="I79" s="91">
        <v>0</v>
      </c>
      <c r="J79" s="93" t="str">
        <v>24x24x4</v>
      </c>
      <c r="K79" s="93">
        <v>6</v>
      </c>
      <c r="L79" s="93" t="str">
        <v>90 Days</v>
      </c>
      <c r="M79" s="93">
        <v>28830</v>
      </c>
      <c r="N79" s="94">
        <v>46029</v>
      </c>
      <c r="O79" s="94">
        <v>46119</v>
      </c>
      <c r="P79" s="93">
        <v>28830</v>
      </c>
      <c r="Q79" s="92">
        <v>0</v>
      </c>
    </row>
    <row r="80" spans="2:17" x14ac:dyDescent="0.25">
      <c r="B80" s="92" t="str">
        <v>Main</v>
      </c>
      <c r="C80" s="90" t="str">
        <v>Roof PH</v>
      </c>
      <c r="D80" s="91">
        <v>0</v>
      </c>
      <c r="E80" s="92" t="str">
        <v>PRE</v>
      </c>
      <c r="F80" s="92" t="str">
        <v>AH1</v>
      </c>
      <c r="G80" s="92" t="str">
        <v>ZLP (MERV 10) Pleat</v>
      </c>
      <c r="H80" s="91">
        <v>0</v>
      </c>
      <c r="I80" s="91">
        <v>0</v>
      </c>
      <c r="J80" s="93" t="str">
        <v>12x24x4</v>
      </c>
      <c r="K80" s="93">
        <v>5</v>
      </c>
      <c r="L80" s="93" t="str">
        <v>90 Days</v>
      </c>
      <c r="M80" s="93">
        <v>28830</v>
      </c>
      <c r="N80" s="94">
        <v>46029</v>
      </c>
      <c r="O80" s="94">
        <v>46119</v>
      </c>
      <c r="P80" s="93">
        <v>28830</v>
      </c>
      <c r="Q80" s="92">
        <v>0</v>
      </c>
    </row>
    <row r="81" spans="2:17" x14ac:dyDescent="0.25">
      <c r="B81" s="92" t="str">
        <v>Main</v>
      </c>
      <c r="C81" s="90" t="str">
        <v>Roof PH</v>
      </c>
      <c r="D81" s="91">
        <v>0</v>
      </c>
      <c r="E81" s="92" t="str">
        <v>FINAL</v>
      </c>
      <c r="F81" s="92" t="str">
        <v>AH1</v>
      </c>
      <c r="G81" s="92" t="str">
        <v>F8, 4V-Bank Filter</v>
      </c>
      <c r="H81" s="91">
        <v>0</v>
      </c>
      <c r="I81" s="91">
        <v>0</v>
      </c>
      <c r="J81" s="93" t="str">
        <v>24x24x12</v>
      </c>
      <c r="K81" s="93">
        <v>6</v>
      </c>
      <c r="L81" s="93" t="str">
        <v>18 Months</v>
      </c>
      <c r="M81" s="93">
        <v>27627</v>
      </c>
      <c r="N81" s="94">
        <v>45909</v>
      </c>
      <c r="O81" s="94">
        <v>46456</v>
      </c>
      <c r="P81" s="93">
        <v>0</v>
      </c>
      <c r="Q81" s="92">
        <v>0</v>
      </c>
    </row>
    <row r="82" spans="2:17" x14ac:dyDescent="0.25">
      <c r="B82" s="92" t="str">
        <v>Main</v>
      </c>
      <c r="C82" s="90" t="str">
        <v>Roof PH</v>
      </c>
      <c r="D82" s="91">
        <v>0</v>
      </c>
      <c r="E82" s="92" t="str">
        <v>FINAL</v>
      </c>
      <c r="F82" s="92" t="str">
        <v>AH1</v>
      </c>
      <c r="G82" s="92" t="str">
        <v>F8, 4V-Bank Filter</v>
      </c>
      <c r="H82" s="91">
        <v>0</v>
      </c>
      <c r="I82" s="91">
        <v>0</v>
      </c>
      <c r="J82" s="93" t="str">
        <v>12x24x12</v>
      </c>
      <c r="K82" s="93">
        <v>5</v>
      </c>
      <c r="L82" s="93" t="str">
        <v>18 Months</v>
      </c>
      <c r="M82" s="93">
        <v>27627</v>
      </c>
      <c r="N82" s="94">
        <v>45909</v>
      </c>
      <c r="O82" s="94">
        <v>46456</v>
      </c>
      <c r="P82" s="93">
        <v>0</v>
      </c>
      <c r="Q82" s="92">
        <v>0</v>
      </c>
    </row>
    <row r="83" spans="2:17" x14ac:dyDescent="0.25">
      <c r="B83" s="92">
        <v>0</v>
      </c>
      <c r="C83" s="90">
        <v>0</v>
      </c>
      <c r="D83" s="91">
        <v>0</v>
      </c>
      <c r="E83" s="92" t="str">
        <v/>
      </c>
      <c r="F83" s="92">
        <v>0</v>
      </c>
      <c r="G83" s="92">
        <v>0</v>
      </c>
      <c r="H83" s="91">
        <v>0</v>
      </c>
      <c r="I83" s="91">
        <v>0</v>
      </c>
      <c r="J83" s="93">
        <v>0</v>
      </c>
      <c r="K83" s="93">
        <v>0</v>
      </c>
      <c r="L83" s="93" t="str">
        <v/>
      </c>
      <c r="M83" s="93">
        <v>0</v>
      </c>
      <c r="N83" s="94">
        <v>0</v>
      </c>
      <c r="O83" s="94" t="str">
        <v/>
      </c>
      <c r="P83" s="93">
        <v>0</v>
      </c>
      <c r="Q83" s="92">
        <v>0</v>
      </c>
    </row>
    <row r="84" spans="2:17" x14ac:dyDescent="0.25">
      <c r="B84" s="92" t="str">
        <v>Main</v>
      </c>
      <c r="C84" s="90" t="str">
        <v>Roof PH (OSA)</v>
      </c>
      <c r="D84" s="91">
        <v>0</v>
      </c>
      <c r="E84" s="92" t="str">
        <v>PRE</v>
      </c>
      <c r="F84" s="92" t="str">
        <v>AH2</v>
      </c>
      <c r="G84" s="92" t="str">
        <v>ZLP (MERV 10) Pleat</v>
      </c>
      <c r="H84" s="91">
        <v>0</v>
      </c>
      <c r="I84" s="91">
        <v>0</v>
      </c>
      <c r="J84" s="93" t="str">
        <v>24x24x4</v>
      </c>
      <c r="K84" s="93">
        <v>10</v>
      </c>
      <c r="L84" s="93" t="str">
        <v>90 Days</v>
      </c>
      <c r="M84" s="93">
        <v>28830</v>
      </c>
      <c r="N84" s="94">
        <v>46029</v>
      </c>
      <c r="O84" s="94">
        <v>46119</v>
      </c>
      <c r="P84" s="93">
        <v>28830</v>
      </c>
      <c r="Q84" s="92">
        <v>0</v>
      </c>
    </row>
    <row r="85" spans="2:17" x14ac:dyDescent="0.25">
      <c r="B85" s="92">
        <v>0</v>
      </c>
      <c r="C85" s="90">
        <v>0</v>
      </c>
      <c r="D85" s="91">
        <v>0</v>
      </c>
      <c r="E85" s="92" t="str">
        <v/>
      </c>
      <c r="F85" s="92">
        <v>0</v>
      </c>
      <c r="G85" s="92">
        <v>0</v>
      </c>
      <c r="H85" s="91">
        <v>0</v>
      </c>
      <c r="I85" s="91">
        <v>0</v>
      </c>
      <c r="J85" s="93">
        <v>0</v>
      </c>
      <c r="K85" s="93">
        <v>0</v>
      </c>
      <c r="L85" s="93" t="str">
        <v/>
      </c>
      <c r="M85" s="93">
        <v>0</v>
      </c>
      <c r="N85" s="94">
        <v>0</v>
      </c>
      <c r="O85" s="94" t="str">
        <v/>
      </c>
      <c r="P85" s="93">
        <v>0</v>
      </c>
      <c r="Q85" s="92">
        <v>0</v>
      </c>
    </row>
    <row r="86" spans="2:17" x14ac:dyDescent="0.25">
      <c r="B86" s="92" t="str">
        <v>Main</v>
      </c>
      <c r="C86" s="90" t="str">
        <v>Westinghouse</v>
      </c>
      <c r="D86" s="91">
        <v>0</v>
      </c>
      <c r="E86" s="92" t="str">
        <v>PRE</v>
      </c>
      <c r="F86" s="92" t="str">
        <v>WH</v>
      </c>
      <c r="G86" s="92" t="str">
        <v>HVP (MERV 10) Pleat</v>
      </c>
      <c r="H86" s="91">
        <v>0</v>
      </c>
      <c r="I86" s="91">
        <v>0</v>
      </c>
      <c r="J86" s="93" t="str">
        <v>24x24x2</v>
      </c>
      <c r="K86" s="93">
        <v>18</v>
      </c>
      <c r="L86" s="93" t="str">
        <v>90 Days</v>
      </c>
      <c r="M86" s="93">
        <v>28830</v>
      </c>
      <c r="N86" s="94">
        <v>46029</v>
      </c>
      <c r="O86" s="94">
        <v>46119</v>
      </c>
      <c r="P86" s="93">
        <v>28830</v>
      </c>
      <c r="Q86" s="92">
        <v>0</v>
      </c>
    </row>
    <row r="87" spans="2:17" x14ac:dyDescent="0.25">
      <c r="B87" s="92" t="str">
        <v>Main</v>
      </c>
      <c r="C87" s="90" t="str">
        <v>Westinghouse</v>
      </c>
      <c r="D87" s="91">
        <v>0</v>
      </c>
      <c r="E87" s="92" t="str">
        <v>FINAL</v>
      </c>
      <c r="F87" s="92" t="str">
        <v>WH</v>
      </c>
      <c r="G87" s="92" t="str">
        <v>Box Filter Non 
Headered</v>
      </c>
      <c r="H87" s="91">
        <v>0</v>
      </c>
      <c r="I87" s="91">
        <v>0</v>
      </c>
      <c r="J87" s="93" t="str">
        <v>24x24x12</v>
      </c>
      <c r="K87" s="93">
        <v>18</v>
      </c>
      <c r="L87" s="93" t="str">
        <v>18 Months</v>
      </c>
      <c r="M87" s="93">
        <v>23971</v>
      </c>
      <c r="N87" s="94">
        <v>45909</v>
      </c>
      <c r="O87" s="94">
        <v>46456</v>
      </c>
      <c r="P87" s="93">
        <v>27627</v>
      </c>
      <c r="Q87" s="92" t="str">
        <v>Box Filter Non Header per PS 27627</v>
      </c>
    </row>
    <row r="88" spans="2:17" x14ac:dyDescent="0.25">
      <c r="B88" s="92">
        <v>0</v>
      </c>
      <c r="C88" s="90">
        <v>0</v>
      </c>
      <c r="D88" s="91">
        <v>0</v>
      </c>
      <c r="E88" s="92" t="str">
        <v/>
      </c>
      <c r="F88" s="92">
        <v>0</v>
      </c>
      <c r="G88" s="92">
        <v>0</v>
      </c>
      <c r="H88" s="91">
        <v>0</v>
      </c>
      <c r="I88" s="91">
        <v>0</v>
      </c>
      <c r="J88" s="93">
        <v>0</v>
      </c>
      <c r="K88" s="93">
        <v>0</v>
      </c>
      <c r="L88" s="93" t="str">
        <v/>
      </c>
      <c r="M88" s="93">
        <v>0</v>
      </c>
      <c r="N88" s="94">
        <v>0</v>
      </c>
      <c r="O88" s="94" t="str">
        <v/>
      </c>
      <c r="P88" s="93">
        <v>0</v>
      </c>
      <c r="Q88" s="92">
        <v>0</v>
      </c>
    </row>
    <row r="89" spans="2:17" x14ac:dyDescent="0.25">
      <c r="B89" s="92" t="str">
        <v>Main</v>
      </c>
      <c r="C89" s="90" t="str">
        <v>Building B</v>
      </c>
      <c r="D89" s="91">
        <v>0</v>
      </c>
      <c r="E89" s="92" t="str">
        <v>PRE</v>
      </c>
      <c r="F89" s="92" t="str">
        <v>Bard</v>
      </c>
      <c r="G89" s="92" t="str">
        <v>ZLP (MERV 10) Pleat</v>
      </c>
      <c r="H89" s="91">
        <v>0</v>
      </c>
      <c r="I89" s="91">
        <v>0</v>
      </c>
      <c r="J89" s="93" t="str">
        <v>15x31x1</v>
      </c>
      <c r="K89" s="93">
        <v>5</v>
      </c>
      <c r="L89" s="93" t="str">
        <v>Removed</v>
      </c>
      <c r="M89" s="93">
        <v>18279</v>
      </c>
      <c r="N89" s="94">
        <v>44386</v>
      </c>
      <c r="O89" s="94" t="str">
        <v/>
      </c>
      <c r="P89" s="93">
        <v>0</v>
      </c>
      <c r="Q89" s="92">
        <v>0</v>
      </c>
    </row>
    <row r="90" spans="2:17" x14ac:dyDescent="0.25">
      <c r="B90" s="92">
        <v>0</v>
      </c>
      <c r="C90" s="90">
        <v>0</v>
      </c>
      <c r="D90" s="91">
        <v>0</v>
      </c>
      <c r="E90" s="92" t="str">
        <v/>
      </c>
      <c r="F90" s="92">
        <v>0</v>
      </c>
      <c r="G90" s="92">
        <v>0</v>
      </c>
      <c r="H90" s="91">
        <v>0</v>
      </c>
      <c r="I90" s="91">
        <v>0</v>
      </c>
      <c r="J90" s="93">
        <v>0</v>
      </c>
      <c r="K90" s="93">
        <v>0</v>
      </c>
      <c r="L90" s="93" t="str">
        <v/>
      </c>
      <c r="M90" s="93">
        <v>0</v>
      </c>
      <c r="N90" s="94">
        <v>0</v>
      </c>
      <c r="O90" s="94" t="str">
        <v/>
      </c>
      <c r="P90" s="93">
        <v>0</v>
      </c>
      <c r="Q90" s="92">
        <v>0</v>
      </c>
    </row>
    <row r="91" spans="2:17" x14ac:dyDescent="0.25">
      <c r="B91" s="92" t="str">
        <v>Main</v>
      </c>
      <c r="C91" s="90" t="str">
        <v>Penthouse; OSA</v>
      </c>
      <c r="D91" s="91">
        <v>0</v>
      </c>
      <c r="E91" s="92" t="str">
        <v>PRE</v>
      </c>
      <c r="F91" s="92" t="str">
        <v>OSA</v>
      </c>
      <c r="G91" s="92" t="str">
        <v>ZLP (MERV 10) Pleat</v>
      </c>
      <c r="H91" s="91">
        <v>0</v>
      </c>
      <c r="I91" s="91">
        <v>0</v>
      </c>
      <c r="J91" s="93" t="str">
        <v>24x24x4</v>
      </c>
      <c r="K91" s="93">
        <v>12</v>
      </c>
      <c r="L91" s="93" t="str">
        <v>90 Days</v>
      </c>
      <c r="M91" s="93">
        <v>28830</v>
      </c>
      <c r="N91" s="94">
        <v>46029</v>
      </c>
      <c r="O91" s="94">
        <v>46119</v>
      </c>
      <c r="P91" s="93">
        <v>28830</v>
      </c>
      <c r="Q91" s="92">
        <v>0</v>
      </c>
    </row>
    <row r="92" spans="2:17" x14ac:dyDescent="0.25">
      <c r="B92" s="92">
        <v>0</v>
      </c>
      <c r="C92" s="90">
        <v>0</v>
      </c>
      <c r="D92" s="91">
        <v>0</v>
      </c>
      <c r="E92" s="92" t="str">
        <v/>
      </c>
      <c r="F92" s="92">
        <v>0</v>
      </c>
      <c r="G92" s="92">
        <v>0</v>
      </c>
      <c r="H92" s="91">
        <v>0</v>
      </c>
      <c r="I92" s="91">
        <v>0</v>
      </c>
      <c r="J92" s="93">
        <v>0</v>
      </c>
      <c r="K92" s="93">
        <v>0</v>
      </c>
      <c r="L92" s="93" t="str">
        <v/>
      </c>
      <c r="M92" s="93">
        <v>0</v>
      </c>
      <c r="N92" s="94">
        <v>0</v>
      </c>
      <c r="O92" s="94" t="str">
        <v/>
      </c>
      <c r="P92" s="93">
        <v>0</v>
      </c>
      <c r="Q92" s="92">
        <v>0</v>
      </c>
    </row>
    <row r="93" spans="2:17" x14ac:dyDescent="0.25">
      <c r="B93" s="92" t="str">
        <v>NICU Building</v>
      </c>
      <c r="C93" s="90">
        <v>0</v>
      </c>
      <c r="D93" s="91">
        <v>0</v>
      </c>
      <c r="E93" s="92" t="str">
        <v>PRE</v>
      </c>
      <c r="F93" s="92" t="str">
        <v xml:space="preserve">AHU 1 </v>
      </c>
      <c r="G93" s="92" t="str">
        <v>HVP (MERV 10) Pleat</v>
      </c>
      <c r="H93" s="91">
        <v>0</v>
      </c>
      <c r="I93" s="91">
        <v>0</v>
      </c>
      <c r="J93" s="93" t="str">
        <v xml:space="preserve">24x24x4 </v>
      </c>
      <c r="K93" s="93">
        <v>15</v>
      </c>
      <c r="L93" s="93" t="str">
        <v>90 Days</v>
      </c>
      <c r="M93" s="93">
        <v>28830</v>
      </c>
      <c r="N93" s="94">
        <v>46029</v>
      </c>
      <c r="O93" s="94">
        <v>46119</v>
      </c>
      <c r="P93" s="93">
        <v>28830</v>
      </c>
      <c r="Q93" s="92">
        <v>0</v>
      </c>
    </row>
    <row r="94" spans="2:17" x14ac:dyDescent="0.25">
      <c r="B94" s="92" t="str">
        <v>NICU Building</v>
      </c>
      <c r="C94" s="90">
        <v>0</v>
      </c>
      <c r="D94" s="91">
        <v>0</v>
      </c>
      <c r="E94" s="92" t="str">
        <v>FINAL</v>
      </c>
      <c r="F94" s="92" t="str">
        <v>AHU 1</v>
      </c>
      <c r="G94" s="92" t="str">
        <v>MV95</v>
      </c>
      <c r="H94" s="91">
        <v>0</v>
      </c>
      <c r="I94" s="91">
        <v>0</v>
      </c>
      <c r="J94" s="93" t="str">
        <v xml:space="preserve">24x24x12 </v>
      </c>
      <c r="K94" s="93">
        <v>15</v>
      </c>
      <c r="L94" s="93" t="str">
        <v>18 Months</v>
      </c>
      <c r="M94" s="93">
        <v>27627</v>
      </c>
      <c r="N94" s="94">
        <v>45909</v>
      </c>
      <c r="O94" s="94">
        <v>46456</v>
      </c>
      <c r="P94" s="93">
        <v>0</v>
      </c>
      <c r="Q94" s="92">
        <v>0</v>
      </c>
    </row>
    <row r="95" spans="2:17" x14ac:dyDescent="0.25">
      <c r="B95" s="92">
        <v>0</v>
      </c>
      <c r="C95" s="90">
        <v>0</v>
      </c>
      <c r="D95" s="91">
        <v>0</v>
      </c>
      <c r="E95" s="92" t="str">
        <v/>
      </c>
      <c r="F95" s="92">
        <v>0</v>
      </c>
      <c r="G95" s="92">
        <v>0</v>
      </c>
      <c r="H95" s="91">
        <v>0</v>
      </c>
      <c r="I95" s="91">
        <v>0</v>
      </c>
      <c r="J95" s="93">
        <v>0</v>
      </c>
      <c r="K95" s="93">
        <v>0</v>
      </c>
      <c r="L95" s="93" t="str">
        <v/>
      </c>
      <c r="M95" s="93">
        <v>0</v>
      </c>
      <c r="N95" s="94">
        <v>0</v>
      </c>
      <c r="O95" s="94" t="str">
        <v/>
      </c>
      <c r="P95" s="93">
        <v>0</v>
      </c>
      <c r="Q95" s="92">
        <v>0</v>
      </c>
    </row>
    <row r="96" spans="2:17" x14ac:dyDescent="0.25">
      <c r="B96" s="92" t="str">
        <v>NICU Building</v>
      </c>
      <c r="C96" s="90">
        <v>0</v>
      </c>
      <c r="D96" s="91">
        <v>0</v>
      </c>
      <c r="E96" s="92" t="str">
        <v>PRE</v>
      </c>
      <c r="F96" s="92" t="str">
        <v xml:space="preserve">AHU 2 </v>
      </c>
      <c r="G96" s="92" t="str">
        <v>HVP (MERV 10) Pleat</v>
      </c>
      <c r="H96" s="91">
        <v>0</v>
      </c>
      <c r="I96" s="91">
        <v>0</v>
      </c>
      <c r="J96" s="93" t="str">
        <v xml:space="preserve">24x24x4 </v>
      </c>
      <c r="K96" s="93">
        <v>9</v>
      </c>
      <c r="L96" s="93" t="str">
        <v>90 Days</v>
      </c>
      <c r="M96" s="93">
        <v>28830</v>
      </c>
      <c r="N96" s="94">
        <v>46029</v>
      </c>
      <c r="O96" s="94">
        <v>46119</v>
      </c>
      <c r="P96" s="93">
        <v>28830</v>
      </c>
      <c r="Q96" s="92">
        <v>0</v>
      </c>
    </row>
    <row r="97" spans="2:17" x14ac:dyDescent="0.25">
      <c r="B97" s="92" t="str">
        <v>NICU Building</v>
      </c>
      <c r="C97" s="90">
        <v>0</v>
      </c>
      <c r="D97" s="91">
        <v>0</v>
      </c>
      <c r="E97" s="92" t="str">
        <v>FINAL</v>
      </c>
      <c r="F97" s="92" t="str">
        <v xml:space="preserve">AHU 2 </v>
      </c>
      <c r="G97" s="92" t="str">
        <v>MV95</v>
      </c>
      <c r="H97" s="91">
        <v>0</v>
      </c>
      <c r="I97" s="91">
        <v>0</v>
      </c>
      <c r="J97" s="93" t="str">
        <v xml:space="preserve">24x24x12 </v>
      </c>
      <c r="K97" s="93">
        <v>9</v>
      </c>
      <c r="L97" s="93" t="str">
        <v>18 Months</v>
      </c>
      <c r="M97" s="93">
        <v>27627</v>
      </c>
      <c r="N97" s="94">
        <v>45909</v>
      </c>
      <c r="O97" s="94">
        <v>46456</v>
      </c>
      <c r="P97" s="93">
        <v>0</v>
      </c>
      <c r="Q97" s="92">
        <v>0</v>
      </c>
    </row>
    <row r="98" spans="2:17" x14ac:dyDescent="0.25">
      <c r="B98" s="92">
        <v>0</v>
      </c>
      <c r="C98" s="90">
        <v>0</v>
      </c>
      <c r="D98" s="91">
        <v>0</v>
      </c>
      <c r="E98" s="92" t="str">
        <v/>
      </c>
      <c r="F98" s="92">
        <v>0</v>
      </c>
      <c r="G98" s="92">
        <v>0</v>
      </c>
      <c r="H98" s="91">
        <v>0</v>
      </c>
      <c r="I98" s="91">
        <v>0</v>
      </c>
      <c r="J98" s="93">
        <v>0</v>
      </c>
      <c r="K98" s="93">
        <v>0</v>
      </c>
      <c r="L98" s="93" t="str">
        <v/>
      </c>
      <c r="M98" s="93">
        <v>0</v>
      </c>
      <c r="N98" s="94">
        <v>0</v>
      </c>
      <c r="O98" s="94" t="str">
        <v/>
      </c>
      <c r="P98" s="93">
        <v>0</v>
      </c>
      <c r="Q98" s="92">
        <v>0</v>
      </c>
    </row>
    <row r="99" spans="2:17" x14ac:dyDescent="0.25">
      <c r="B99" s="92" t="str">
        <v>NICU Building</v>
      </c>
      <c r="C99" s="90">
        <v>0</v>
      </c>
      <c r="D99" s="91">
        <v>0</v>
      </c>
      <c r="E99" s="92" t="str">
        <v>PRE</v>
      </c>
      <c r="F99" s="92" t="str">
        <v xml:space="preserve">AHU 3 </v>
      </c>
      <c r="G99" s="92" t="str">
        <v>HVP (MERV 10) Pleat</v>
      </c>
      <c r="H99" s="91">
        <v>0</v>
      </c>
      <c r="I99" s="91">
        <v>0</v>
      </c>
      <c r="J99" s="93" t="str">
        <v xml:space="preserve">24x24x4 </v>
      </c>
      <c r="K99" s="93">
        <v>9</v>
      </c>
      <c r="L99" s="93" t="str">
        <v>90 Days</v>
      </c>
      <c r="M99" s="93">
        <v>28830</v>
      </c>
      <c r="N99" s="94">
        <v>46029</v>
      </c>
      <c r="O99" s="94">
        <v>46119</v>
      </c>
      <c r="P99" s="93">
        <v>28830</v>
      </c>
      <c r="Q99" s="92">
        <v>0</v>
      </c>
    </row>
    <row r="100" spans="2:17" x14ac:dyDescent="0.25">
      <c r="B100" s="92" t="str">
        <v>NICU Building</v>
      </c>
      <c r="C100" s="90">
        <v>0</v>
      </c>
      <c r="D100" s="91">
        <v>0</v>
      </c>
      <c r="E100" s="92" t="str">
        <v>PRE</v>
      </c>
      <c r="F100" s="92" t="str">
        <v xml:space="preserve">AHU 3 </v>
      </c>
      <c r="G100" s="92" t="str">
        <v>HVP (MERV 10) Pleat</v>
      </c>
      <c r="H100" s="91">
        <v>0</v>
      </c>
      <c r="I100" s="91">
        <v>0</v>
      </c>
      <c r="J100" s="93" t="str">
        <v xml:space="preserve">12x24x4 </v>
      </c>
      <c r="K100" s="93">
        <v>3</v>
      </c>
      <c r="L100" s="93" t="str">
        <v>90 Days</v>
      </c>
      <c r="M100" s="93">
        <v>28830</v>
      </c>
      <c r="N100" s="94">
        <v>46029</v>
      </c>
      <c r="O100" s="94">
        <v>46119</v>
      </c>
      <c r="P100" s="93">
        <v>28830</v>
      </c>
      <c r="Q100" s="92">
        <v>0</v>
      </c>
    </row>
    <row r="101" spans="2:17" x14ac:dyDescent="0.25">
      <c r="B101" s="92" t="str">
        <v>NICU Building</v>
      </c>
      <c r="C101" s="90">
        <v>0</v>
      </c>
      <c r="D101" s="91">
        <v>0</v>
      </c>
      <c r="E101" s="92" t="str">
        <v>FINAL</v>
      </c>
      <c r="F101" s="92" t="str">
        <v xml:space="preserve">AHU 3 </v>
      </c>
      <c r="G101" s="92" t="str">
        <v>MV95</v>
      </c>
      <c r="H101" s="91">
        <v>0</v>
      </c>
      <c r="I101" s="91">
        <v>0</v>
      </c>
      <c r="J101" s="93" t="str">
        <v xml:space="preserve">24x24x12 </v>
      </c>
      <c r="K101" s="93">
        <v>9</v>
      </c>
      <c r="L101" s="93" t="str">
        <v>18 Months</v>
      </c>
      <c r="M101" s="93">
        <v>27627</v>
      </c>
      <c r="N101" s="94">
        <v>45909</v>
      </c>
      <c r="O101" s="94">
        <v>46456</v>
      </c>
      <c r="P101" s="93">
        <v>0</v>
      </c>
      <c r="Q101" s="92">
        <v>0</v>
      </c>
    </row>
    <row r="102" spans="2:17" x14ac:dyDescent="0.25">
      <c r="B102" s="92" t="str">
        <v>NICU Building</v>
      </c>
      <c r="C102" s="90">
        <v>0</v>
      </c>
      <c r="D102" s="91">
        <v>0</v>
      </c>
      <c r="E102" s="92" t="str">
        <v>FINAL</v>
      </c>
      <c r="F102" s="92" t="str">
        <v xml:space="preserve">AHU 3 </v>
      </c>
      <c r="G102" s="92" t="str">
        <v>MV95</v>
      </c>
      <c r="H102" s="91">
        <v>0</v>
      </c>
      <c r="I102" s="91">
        <v>0</v>
      </c>
      <c r="J102" s="93" t="str">
        <v xml:space="preserve">12x24x12 </v>
      </c>
      <c r="K102" s="93">
        <v>3</v>
      </c>
      <c r="L102" s="93" t="str">
        <v>18 Months</v>
      </c>
      <c r="M102" s="93">
        <v>27627</v>
      </c>
      <c r="N102" s="94">
        <v>45909</v>
      </c>
      <c r="O102" s="94">
        <v>46456</v>
      </c>
      <c r="P102" s="93">
        <v>0</v>
      </c>
      <c r="Q102" s="92">
        <v>0</v>
      </c>
    </row>
    <row r="103" spans="2:17" x14ac:dyDescent="0.25">
      <c r="B103" s="92">
        <v>0</v>
      </c>
      <c r="C103" s="90">
        <v>0</v>
      </c>
      <c r="D103" s="91">
        <v>0</v>
      </c>
      <c r="E103" s="92" t="str">
        <v/>
      </c>
      <c r="F103" s="92">
        <v>0</v>
      </c>
      <c r="G103" s="92">
        <v>0</v>
      </c>
      <c r="H103" s="91">
        <v>0</v>
      </c>
      <c r="I103" s="91">
        <v>0</v>
      </c>
      <c r="J103" s="93">
        <v>0</v>
      </c>
      <c r="K103" s="93">
        <v>0</v>
      </c>
      <c r="L103" s="93" t="str">
        <v/>
      </c>
      <c r="M103" s="93">
        <v>0</v>
      </c>
      <c r="N103" s="94">
        <v>0</v>
      </c>
      <c r="O103" s="94" t="str">
        <v/>
      </c>
      <c r="P103" s="93">
        <v>0</v>
      </c>
      <c r="Q103" s="92">
        <v>0</v>
      </c>
    </row>
    <row r="104" spans="2:17" x14ac:dyDescent="0.25">
      <c r="B104" s="92" t="str">
        <v>NICU Building</v>
      </c>
      <c r="C104" s="90">
        <v>0</v>
      </c>
      <c r="D104" s="91">
        <v>0</v>
      </c>
      <c r="E104" s="92" t="str">
        <v>PRE</v>
      </c>
      <c r="F104" s="92" t="str">
        <v xml:space="preserve">AHU 4 </v>
      </c>
      <c r="G104" s="92" t="str">
        <v>HVP (MERV 10) Pleat</v>
      </c>
      <c r="H104" s="91">
        <v>0</v>
      </c>
      <c r="I104" s="91">
        <v>0</v>
      </c>
      <c r="J104" s="93" t="str">
        <v xml:space="preserve">24x24x4 </v>
      </c>
      <c r="K104" s="93">
        <v>8</v>
      </c>
      <c r="L104" s="93" t="str">
        <v>90 Days</v>
      </c>
      <c r="M104" s="93">
        <v>28830</v>
      </c>
      <c r="N104" s="94">
        <v>46029</v>
      </c>
      <c r="O104" s="94">
        <v>46119</v>
      </c>
      <c r="P104" s="93">
        <v>28830</v>
      </c>
      <c r="Q104" s="92">
        <v>0</v>
      </c>
    </row>
    <row r="105" spans="2:17" x14ac:dyDescent="0.25">
      <c r="B105" s="92" t="str">
        <v>NICU Building</v>
      </c>
      <c r="C105" s="90">
        <v>0</v>
      </c>
      <c r="D105" s="91">
        <v>0</v>
      </c>
      <c r="E105" s="92" t="str">
        <v>PRE</v>
      </c>
      <c r="F105" s="92" t="str">
        <v xml:space="preserve">AHU 4 </v>
      </c>
      <c r="G105" s="92" t="str">
        <v>HVP (MERV 10) Pleat</v>
      </c>
      <c r="H105" s="91">
        <v>0</v>
      </c>
      <c r="I105" s="91">
        <v>0</v>
      </c>
      <c r="J105" s="93" t="str">
        <v xml:space="preserve">12x24x4 </v>
      </c>
      <c r="K105" s="93">
        <v>4</v>
      </c>
      <c r="L105" s="93" t="str">
        <v>90 Days</v>
      </c>
      <c r="M105" s="93">
        <v>28830</v>
      </c>
      <c r="N105" s="94">
        <v>46029</v>
      </c>
      <c r="O105" s="94">
        <v>46119</v>
      </c>
      <c r="P105" s="93">
        <v>28830</v>
      </c>
      <c r="Q105" s="92">
        <v>0</v>
      </c>
    </row>
    <row r="106" spans="2:17" x14ac:dyDescent="0.25">
      <c r="B106" s="92" t="str">
        <v>NICU Building</v>
      </c>
      <c r="C106" s="90">
        <v>0</v>
      </c>
      <c r="D106" s="91">
        <v>0</v>
      </c>
      <c r="E106" s="92" t="str">
        <v>FINAL</v>
      </c>
      <c r="F106" s="92" t="str">
        <v xml:space="preserve">AHU 4 </v>
      </c>
      <c r="G106" s="92" t="str">
        <v>MV95</v>
      </c>
      <c r="H106" s="91">
        <v>0</v>
      </c>
      <c r="I106" s="91">
        <v>0</v>
      </c>
      <c r="J106" s="93" t="str">
        <v xml:space="preserve">24x24x12 </v>
      </c>
      <c r="K106" s="93">
        <v>8</v>
      </c>
      <c r="L106" s="93" t="str">
        <v>18 Months</v>
      </c>
      <c r="M106" s="93">
        <v>27627</v>
      </c>
      <c r="N106" s="94">
        <v>45909</v>
      </c>
      <c r="O106" s="94">
        <v>46456</v>
      </c>
      <c r="P106" s="93">
        <v>0</v>
      </c>
      <c r="Q106" s="92">
        <v>0</v>
      </c>
    </row>
    <row r="107" spans="2:17" x14ac:dyDescent="0.25">
      <c r="B107" s="92" t="str">
        <v>NICU Building</v>
      </c>
      <c r="C107" s="90">
        <v>0</v>
      </c>
      <c r="D107" s="91">
        <v>0</v>
      </c>
      <c r="E107" s="92" t="str">
        <v>FINAL</v>
      </c>
      <c r="F107" s="92" t="str">
        <v xml:space="preserve">AHU 4 </v>
      </c>
      <c r="G107" s="92" t="str">
        <v>MV95</v>
      </c>
      <c r="H107" s="91">
        <v>0</v>
      </c>
      <c r="I107" s="91">
        <v>0</v>
      </c>
      <c r="J107" s="93" t="str">
        <v xml:space="preserve">12x24x12 </v>
      </c>
      <c r="K107" s="93">
        <v>4</v>
      </c>
      <c r="L107" s="93" t="str">
        <v>18 Months</v>
      </c>
      <c r="M107" s="93">
        <v>27627</v>
      </c>
      <c r="N107" s="94">
        <v>45909</v>
      </c>
      <c r="O107" s="94">
        <v>46456</v>
      </c>
      <c r="P107" s="93">
        <v>0</v>
      </c>
      <c r="Q107" s="92">
        <v>0</v>
      </c>
    </row>
    <row r="108" spans="2:17" x14ac:dyDescent="0.25">
      <c r="B108" s="92">
        <v>0</v>
      </c>
      <c r="C108" s="90">
        <v>0</v>
      </c>
      <c r="D108" s="91">
        <v>0</v>
      </c>
      <c r="E108" s="92" t="str">
        <v/>
      </c>
      <c r="F108" s="92">
        <v>0</v>
      </c>
      <c r="G108" s="92">
        <v>0</v>
      </c>
      <c r="H108" s="91">
        <v>0</v>
      </c>
      <c r="I108" s="91">
        <v>0</v>
      </c>
      <c r="J108" s="93">
        <v>0</v>
      </c>
      <c r="K108" s="93">
        <v>0</v>
      </c>
      <c r="L108" s="93" t="str">
        <v/>
      </c>
      <c r="M108" s="93">
        <v>0</v>
      </c>
      <c r="N108" s="94">
        <v>0</v>
      </c>
      <c r="O108" s="94" t="str">
        <v/>
      </c>
      <c r="P108" s="93">
        <v>0</v>
      </c>
      <c r="Q108" s="92">
        <v>0</v>
      </c>
    </row>
    <row r="109" spans="2:17" x14ac:dyDescent="0.25">
      <c r="B109" s="92" t="str">
        <v>Main</v>
      </c>
      <c r="C109" s="90" t="str">
        <v>2nd Floor Roof</v>
      </c>
      <c r="D109" s="91">
        <v>0</v>
      </c>
      <c r="E109" s="92" t="str">
        <v>PRE</v>
      </c>
      <c r="F109" s="92" t="str">
        <v>PACKAGE Unit</v>
      </c>
      <c r="G109" s="92" t="str">
        <v>ZLP (MERV 10) Pleat</v>
      </c>
      <c r="H109" s="91">
        <v>0</v>
      </c>
      <c r="I109" s="91">
        <v>0</v>
      </c>
      <c r="J109" s="93" t="str">
        <v>16x25x2</v>
      </c>
      <c r="K109" s="93">
        <v>2</v>
      </c>
      <c r="L109" s="93" t="str">
        <v>90 Days</v>
      </c>
      <c r="M109" s="93">
        <v>28830</v>
      </c>
      <c r="N109" s="94">
        <v>46029</v>
      </c>
      <c r="O109" s="94">
        <v>46119</v>
      </c>
      <c r="P109" s="93">
        <v>28830</v>
      </c>
      <c r="Q109" s="92">
        <v>0</v>
      </c>
    </row>
    <row r="110" spans="2:17" x14ac:dyDescent="0.25">
      <c r="B110" s="92">
        <v>0</v>
      </c>
      <c r="C110" s="90">
        <v>0</v>
      </c>
      <c r="D110" s="91">
        <v>0</v>
      </c>
      <c r="E110" s="92" t="str">
        <v/>
      </c>
      <c r="F110" s="92">
        <v>0</v>
      </c>
      <c r="G110" s="92">
        <v>0</v>
      </c>
      <c r="H110" s="91">
        <v>0</v>
      </c>
      <c r="I110" s="91">
        <v>0</v>
      </c>
      <c r="J110" s="93">
        <v>0</v>
      </c>
      <c r="K110" s="93">
        <v>0</v>
      </c>
      <c r="L110" s="93" t="str">
        <v/>
      </c>
      <c r="M110" s="93">
        <v>0</v>
      </c>
      <c r="N110" s="94">
        <v>0</v>
      </c>
      <c r="O110" s="94" t="str">
        <v/>
      </c>
      <c r="P110" s="93">
        <v>0</v>
      </c>
      <c r="Q110" s="92">
        <v>0</v>
      </c>
    </row>
    <row r="111" spans="2:17" x14ac:dyDescent="0.25">
      <c r="B111" s="92" t="str">
        <v>NICU Building</v>
      </c>
      <c r="C111" s="90" t="str">
        <v>Roof</v>
      </c>
      <c r="D111" s="91">
        <v>0</v>
      </c>
      <c r="E111" s="92" t="str">
        <v>PRE</v>
      </c>
      <c r="F111" s="92" t="str">
        <v>AHU 6</v>
      </c>
      <c r="G111" s="92" t="str">
        <v>HVP (MERV 10) Pleat</v>
      </c>
      <c r="H111" s="91">
        <v>0</v>
      </c>
      <c r="I111" s="91">
        <v>0</v>
      </c>
      <c r="J111" s="93" t="str">
        <v xml:space="preserve">24x24x4 </v>
      </c>
      <c r="K111" s="93">
        <v>2</v>
      </c>
      <c r="L111" s="93" t="str">
        <v>90 Days</v>
      </c>
      <c r="M111" s="93">
        <v>28830</v>
      </c>
      <c r="N111" s="94">
        <v>46029</v>
      </c>
      <c r="O111" s="94">
        <v>46119</v>
      </c>
      <c r="P111" s="93">
        <v>28830</v>
      </c>
      <c r="Q111" s="92">
        <v>0</v>
      </c>
    </row>
    <row r="112" spans="2:17" x14ac:dyDescent="0.25">
      <c r="B112" s="92" t="str">
        <v>NICU Building</v>
      </c>
      <c r="C112" s="90" t="str">
        <v>Roof</v>
      </c>
      <c r="D112" s="91">
        <v>0</v>
      </c>
      <c r="E112" s="92" t="str">
        <v>FINAL</v>
      </c>
      <c r="F112" s="92" t="str">
        <v>AHU 6</v>
      </c>
      <c r="G112" s="92" t="str">
        <v>MV95</v>
      </c>
      <c r="H112" s="91">
        <v>0</v>
      </c>
      <c r="I112" s="91">
        <v>0</v>
      </c>
      <c r="J112" s="93" t="str">
        <v>24x24x12</v>
      </c>
      <c r="K112" s="93">
        <v>2</v>
      </c>
      <c r="L112" s="93" t="str">
        <v>18 Months</v>
      </c>
      <c r="M112" s="93">
        <v>27627</v>
      </c>
      <c r="N112" s="94">
        <v>45909</v>
      </c>
      <c r="O112" s="94">
        <v>46456</v>
      </c>
      <c r="P112" s="93">
        <v>0</v>
      </c>
      <c r="Q112" s="92">
        <v>0</v>
      </c>
    </row>
    <row r="113" spans="2:17" x14ac:dyDescent="0.25">
      <c r="B113" s="92">
        <v>0</v>
      </c>
      <c r="C113" s="90">
        <v>0</v>
      </c>
      <c r="D113" s="91">
        <v>0</v>
      </c>
      <c r="E113" s="92" t="str">
        <v/>
      </c>
      <c r="F113" s="92">
        <v>0</v>
      </c>
      <c r="G113" s="92">
        <v>0</v>
      </c>
      <c r="H113" s="91">
        <v>0</v>
      </c>
      <c r="I113" s="91">
        <v>0</v>
      </c>
      <c r="J113" s="93">
        <v>0</v>
      </c>
      <c r="K113" s="93">
        <v>0</v>
      </c>
      <c r="L113" s="93" t="str">
        <v/>
      </c>
      <c r="M113" s="93">
        <v>0</v>
      </c>
      <c r="N113" s="94">
        <v>0</v>
      </c>
      <c r="O113" s="94" t="str">
        <v/>
      </c>
      <c r="P113" s="93">
        <v>0</v>
      </c>
      <c r="Q113" s="92">
        <v>0</v>
      </c>
    </row>
    <row r="114" spans="2:17" x14ac:dyDescent="0.25">
      <c r="B114" s="92" t="str">
        <v>Main</v>
      </c>
      <c r="C114" s="90" t="str">
        <v>Facilities</v>
      </c>
      <c r="D114" s="91">
        <v>0</v>
      </c>
      <c r="E114" s="92" t="str">
        <v>PRE</v>
      </c>
      <c r="F114" s="92" t="str">
        <v>FC1</v>
      </c>
      <c r="G114" s="92" t="str">
        <v>ZLP (MERV 10) Pleat</v>
      </c>
      <c r="H114" s="91">
        <v>0</v>
      </c>
      <c r="I114" s="91">
        <v>0</v>
      </c>
      <c r="J114" s="93" t="str">
        <v>16x20x2</v>
      </c>
      <c r="K114" s="93">
        <v>1</v>
      </c>
      <c r="L114" s="93" t="str">
        <v>90 Days</v>
      </c>
      <c r="M114" s="93">
        <v>28830</v>
      </c>
      <c r="N114" s="94">
        <v>46029</v>
      </c>
      <c r="O114" s="94">
        <v>46119</v>
      </c>
      <c r="P114" s="93">
        <v>28830</v>
      </c>
      <c r="Q114" s="92">
        <v>0</v>
      </c>
    </row>
    <row r="115" spans="2:17" x14ac:dyDescent="0.25">
      <c r="B115" s="92" t="str">
        <v>Main</v>
      </c>
      <c r="C115" s="90" t="str">
        <v>Facilities</v>
      </c>
      <c r="D115" s="91">
        <v>0</v>
      </c>
      <c r="E115" s="92" t="str">
        <v>PRE</v>
      </c>
      <c r="F115" s="92" t="str">
        <v>FC1</v>
      </c>
      <c r="G115" s="92" t="str">
        <v>ZLP (MERV 10) Pleat</v>
      </c>
      <c r="H115" s="91">
        <v>0</v>
      </c>
      <c r="I115" s="91">
        <v>0</v>
      </c>
      <c r="J115" s="93" t="str">
        <v>16x25x2</v>
      </c>
      <c r="K115" s="93">
        <v>1</v>
      </c>
      <c r="L115" s="93" t="str">
        <v>90 Days</v>
      </c>
      <c r="M115" s="93">
        <v>28830</v>
      </c>
      <c r="N115" s="94">
        <v>46029</v>
      </c>
      <c r="O115" s="94">
        <v>46119</v>
      </c>
      <c r="P115" s="93">
        <v>28830</v>
      </c>
      <c r="Q115" s="92">
        <v>0</v>
      </c>
    </row>
    <row r="116" spans="2:17" x14ac:dyDescent="0.25">
      <c r="B116" s="92">
        <v>0</v>
      </c>
      <c r="C116" s="90">
        <v>0</v>
      </c>
      <c r="D116" s="91">
        <v>0</v>
      </c>
      <c r="E116" s="92" t="str">
        <v/>
      </c>
      <c r="F116" s="92">
        <v>0</v>
      </c>
      <c r="G116" s="92">
        <v>0</v>
      </c>
      <c r="H116" s="91">
        <v>0</v>
      </c>
      <c r="I116" s="91">
        <v>0</v>
      </c>
      <c r="J116" s="93">
        <v>0</v>
      </c>
      <c r="K116" s="93">
        <v>0</v>
      </c>
      <c r="L116" s="93" t="str">
        <v/>
      </c>
      <c r="M116" s="93">
        <v>0</v>
      </c>
      <c r="N116" s="94">
        <v>0</v>
      </c>
      <c r="O116" s="94" t="str">
        <v/>
      </c>
      <c r="P116" s="93">
        <v>0</v>
      </c>
      <c r="Q116" s="92">
        <v>0</v>
      </c>
    </row>
    <row r="117" spans="2:17" x14ac:dyDescent="0.25">
      <c r="B117" s="92" t="str">
        <v>Main</v>
      </c>
      <c r="C117" s="90" t="str">
        <v>Facilities</v>
      </c>
      <c r="D117" s="91">
        <v>0</v>
      </c>
      <c r="E117" s="92" t="str">
        <v>PRE</v>
      </c>
      <c r="F117" s="92" t="str">
        <v>FC2</v>
      </c>
      <c r="G117" s="92" t="str">
        <v>ZLP (MERV 10) Pleat</v>
      </c>
      <c r="H117" s="91">
        <v>0</v>
      </c>
      <c r="I117" s="91">
        <v>0</v>
      </c>
      <c r="J117" s="93" t="str">
        <v>14x25x2</v>
      </c>
      <c r="K117" s="93">
        <v>1</v>
      </c>
      <c r="L117" s="93" t="str">
        <v>90 Days</v>
      </c>
      <c r="M117" s="93">
        <v>28830</v>
      </c>
      <c r="N117" s="94">
        <v>46029</v>
      </c>
      <c r="O117" s="94">
        <v>46119</v>
      </c>
      <c r="P117" s="93">
        <v>28830</v>
      </c>
      <c r="Q117" s="92">
        <v>0</v>
      </c>
    </row>
    <row r="118" spans="2:17" x14ac:dyDescent="0.25">
      <c r="B118" s="92">
        <v>0</v>
      </c>
      <c r="C118" s="90">
        <v>0</v>
      </c>
      <c r="D118" s="91">
        <v>0</v>
      </c>
      <c r="E118" s="92" t="str">
        <v/>
      </c>
      <c r="F118" s="92">
        <v>0</v>
      </c>
      <c r="G118" s="92">
        <v>0</v>
      </c>
      <c r="H118" s="91">
        <v>0</v>
      </c>
      <c r="I118" s="91">
        <v>0</v>
      </c>
      <c r="J118" s="93">
        <v>0</v>
      </c>
      <c r="K118" s="93">
        <v>0</v>
      </c>
      <c r="L118" s="93" t="str">
        <v/>
      </c>
      <c r="M118" s="93">
        <v>0</v>
      </c>
      <c r="N118" s="94">
        <v>0</v>
      </c>
      <c r="O118" s="94" t="str">
        <v/>
      </c>
      <c r="P118" s="93">
        <v>0</v>
      </c>
      <c r="Q118" s="92">
        <v>0</v>
      </c>
    </row>
    <row r="119" spans="2:17" x14ac:dyDescent="0.25">
      <c r="B119" s="92" t="str">
        <v>Main</v>
      </c>
      <c r="C119" s="90" t="str">
        <v>Mobile Bard (Parking Lot)</v>
      </c>
      <c r="D119" s="91">
        <v>0</v>
      </c>
      <c r="E119" s="92" t="str">
        <v>PRE</v>
      </c>
      <c r="F119" s="92" t="str">
        <v>Unit 1</v>
      </c>
      <c r="G119" s="92" t="str">
        <v>ZLP (MERV 10) Pleat</v>
      </c>
      <c r="H119" s="91">
        <v>0</v>
      </c>
      <c r="I119" s="91">
        <v>0</v>
      </c>
      <c r="J119" s="93" t="str">
        <v>16x30x1</v>
      </c>
      <c r="K119" s="93">
        <v>1</v>
      </c>
      <c r="L119" s="93" t="str">
        <v>Removed</v>
      </c>
      <c r="M119" s="93">
        <v>19197</v>
      </c>
      <c r="N119" s="94">
        <v>44574</v>
      </c>
      <c r="O119" s="94" t="str">
        <v/>
      </c>
      <c r="P119" s="93">
        <v>0</v>
      </c>
      <c r="Q119" s="92">
        <v>0</v>
      </c>
    </row>
    <row r="120" spans="2:17" x14ac:dyDescent="0.25">
      <c r="B120" s="92" t="str">
        <v>Main</v>
      </c>
      <c r="C120" s="90" t="str">
        <v>Mobile Bard (Parking Lot)</v>
      </c>
      <c r="D120" s="91">
        <v>0</v>
      </c>
      <c r="E120" s="92" t="str">
        <v>PRE</v>
      </c>
      <c r="F120" s="92" t="str">
        <v>Unit 2</v>
      </c>
      <c r="G120" s="92" t="str">
        <v>ZLP (MERV 10) Pleat</v>
      </c>
      <c r="H120" s="91">
        <v>0</v>
      </c>
      <c r="I120" s="91">
        <v>0</v>
      </c>
      <c r="J120" s="93" t="str">
        <v>16x30x1</v>
      </c>
      <c r="K120" s="93">
        <v>1</v>
      </c>
      <c r="L120" s="93" t="str">
        <v>Removed</v>
      </c>
      <c r="M120" s="93">
        <v>19197</v>
      </c>
      <c r="N120" s="94">
        <v>44574</v>
      </c>
      <c r="O120" s="94" t="str">
        <v/>
      </c>
      <c r="P120" s="93">
        <v>0</v>
      </c>
      <c r="Q120" s="92">
        <v>0</v>
      </c>
    </row>
    <row r="121" spans="2:17" x14ac:dyDescent="0.25">
      <c r="B121" s="92" t="str">
        <v>Main</v>
      </c>
      <c r="C121" s="90" t="str">
        <v>Mobile Bard (Parking Lot)</v>
      </c>
      <c r="D121" s="91">
        <v>0</v>
      </c>
      <c r="E121" s="92" t="str">
        <v>PRE</v>
      </c>
      <c r="F121" s="92" t="str">
        <v>Unit 3</v>
      </c>
      <c r="G121" s="92" t="str">
        <v>ZLP (MERV 10) Pleat</v>
      </c>
      <c r="H121" s="91">
        <v>0</v>
      </c>
      <c r="I121" s="91">
        <v>0</v>
      </c>
      <c r="J121" s="93" t="str">
        <v>16x30x1</v>
      </c>
      <c r="K121" s="93">
        <v>1</v>
      </c>
      <c r="L121" s="93" t="str">
        <v>Removed</v>
      </c>
      <c r="M121" s="93">
        <v>19197</v>
      </c>
      <c r="N121" s="94">
        <v>44574</v>
      </c>
      <c r="O121" s="94" t="str">
        <v/>
      </c>
      <c r="P121" s="93">
        <v>0</v>
      </c>
      <c r="Q121" s="92">
        <v>0</v>
      </c>
    </row>
    <row r="122" spans="2:17" x14ac:dyDescent="0.25">
      <c r="B122" s="92" t="str">
        <v>Main</v>
      </c>
      <c r="C122" s="90" t="str">
        <v>Mobile Bard (Parking Lot)</v>
      </c>
      <c r="D122" s="91">
        <v>0</v>
      </c>
      <c r="E122" s="92" t="str">
        <v>PRE</v>
      </c>
      <c r="F122" s="92" t="str">
        <v>Unit 4</v>
      </c>
      <c r="G122" s="92" t="str">
        <v>ZLP (MERV 10) Pleat</v>
      </c>
      <c r="H122" s="91">
        <v>0</v>
      </c>
      <c r="I122" s="91">
        <v>0</v>
      </c>
      <c r="J122" s="93" t="str">
        <v>16x30x1</v>
      </c>
      <c r="K122" s="93">
        <v>1</v>
      </c>
      <c r="L122" s="93" t="str">
        <v>Removed</v>
      </c>
      <c r="M122" s="93">
        <v>19197</v>
      </c>
      <c r="N122" s="94">
        <v>44574</v>
      </c>
      <c r="O122" s="94" t="str">
        <v/>
      </c>
      <c r="P122" s="93">
        <v>0</v>
      </c>
      <c r="Q122" s="92">
        <v>0</v>
      </c>
    </row>
    <row r="123" spans="2:17" x14ac:dyDescent="0.25">
      <c r="B123" s="92" t="str">
        <v>Main</v>
      </c>
      <c r="C123" s="90" t="str">
        <v>Mobile Bard (Parking Lot)</v>
      </c>
      <c r="D123" s="91">
        <v>0</v>
      </c>
      <c r="E123" s="92" t="str">
        <v>PRE</v>
      </c>
      <c r="F123" s="92" t="str">
        <v>Unit 5</v>
      </c>
      <c r="G123" s="92" t="str">
        <v>ZLP (MERV 10) Pleat</v>
      </c>
      <c r="H123" s="91">
        <v>0</v>
      </c>
      <c r="I123" s="91">
        <v>0</v>
      </c>
      <c r="J123" s="93" t="str">
        <v>16x30x1</v>
      </c>
      <c r="K123" s="93">
        <v>1</v>
      </c>
      <c r="L123" s="93" t="str">
        <v>Removed</v>
      </c>
      <c r="M123" s="93">
        <v>19197</v>
      </c>
      <c r="N123" s="94">
        <v>44574</v>
      </c>
      <c r="O123" s="94" t="str">
        <v/>
      </c>
      <c r="P123" s="93">
        <v>0</v>
      </c>
      <c r="Q123" s="92">
        <v>0</v>
      </c>
    </row>
    <row r="124" spans="2:17" x14ac:dyDescent="0.25">
      <c r="B124" s="92">
        <v>0</v>
      </c>
      <c r="C124" s="90">
        <v>0</v>
      </c>
      <c r="D124" s="91">
        <v>0</v>
      </c>
      <c r="E124" s="92" t="str">
        <v/>
      </c>
      <c r="F124" s="92">
        <v>0</v>
      </c>
      <c r="G124" s="92">
        <v>0</v>
      </c>
      <c r="H124" s="91">
        <v>0</v>
      </c>
      <c r="I124" s="91">
        <v>0</v>
      </c>
      <c r="J124" s="93">
        <v>0</v>
      </c>
      <c r="K124" s="93">
        <v>0</v>
      </c>
      <c r="L124" s="93" t="str">
        <v/>
      </c>
      <c r="M124" s="93">
        <v>0</v>
      </c>
      <c r="N124" s="94">
        <v>0</v>
      </c>
      <c r="O124" s="94" t="str">
        <v/>
      </c>
      <c r="P124" s="93">
        <v>0</v>
      </c>
      <c r="Q124" s="92">
        <v>0</v>
      </c>
    </row>
    <row r="125" spans="2:17" x14ac:dyDescent="0.25">
      <c r="B125" s="92" t="str">
        <v>Main</v>
      </c>
      <c r="C125" s="90" t="str">
        <v>Basement Telephone 
Room</v>
      </c>
      <c r="D125" s="91">
        <v>0</v>
      </c>
      <c r="E125" s="92" t="str">
        <v>PRE</v>
      </c>
      <c r="F125" s="92">
        <v>0</v>
      </c>
      <c r="G125" s="92" t="str">
        <v>ZLP (MERV 10) Pleat</v>
      </c>
      <c r="H125" s="91">
        <v>0</v>
      </c>
      <c r="I125" s="91">
        <v>0</v>
      </c>
      <c r="J125" s="93" t="str">
        <v>20x25x2</v>
      </c>
      <c r="K125" s="93">
        <v>1</v>
      </c>
      <c r="L125" s="93" t="str">
        <v>90 Days</v>
      </c>
      <c r="M125" s="93">
        <v>28830</v>
      </c>
      <c r="N125" s="94">
        <v>46029</v>
      </c>
      <c r="O125" s="94">
        <v>46119</v>
      </c>
      <c r="P125" s="93">
        <v>28830</v>
      </c>
      <c r="Q125" s="92">
        <v>0</v>
      </c>
    </row>
    <row r="126" spans="2:17" x14ac:dyDescent="0.25">
      <c r="B126" s="92" t="str">
        <v>Main</v>
      </c>
      <c r="C126" s="90" t="str">
        <v>Basement Telephone 
Room</v>
      </c>
      <c r="D126" s="91">
        <v>0</v>
      </c>
      <c r="E126" s="92" t="str">
        <v>PRE</v>
      </c>
      <c r="F126" s="92">
        <v>0</v>
      </c>
      <c r="G126" s="92" t="str">
        <v>ZLP (MERV 10) Pleat</v>
      </c>
      <c r="H126" s="91">
        <v>0</v>
      </c>
      <c r="I126" s="91">
        <v>0</v>
      </c>
      <c r="J126" s="93" t="str">
        <v>20x20x2</v>
      </c>
      <c r="K126" s="93">
        <v>1</v>
      </c>
      <c r="L126" s="93" t="str">
        <v>90 Days</v>
      </c>
      <c r="M126" s="93">
        <v>28830</v>
      </c>
      <c r="N126" s="94">
        <v>46029</v>
      </c>
      <c r="O126" s="94">
        <v>46119</v>
      </c>
      <c r="P126" s="93">
        <v>28830</v>
      </c>
      <c r="Q126" s="92">
        <v>0</v>
      </c>
    </row>
    <row r="127" spans="2:17" x14ac:dyDescent="0.25">
      <c r="B127" s="92">
        <v>0</v>
      </c>
      <c r="C127" s="90">
        <v>0</v>
      </c>
      <c r="D127" s="91">
        <v>0</v>
      </c>
      <c r="E127" s="92" t="str">
        <v/>
      </c>
      <c r="F127" s="92">
        <v>0</v>
      </c>
      <c r="G127" s="92">
        <v>0</v>
      </c>
      <c r="H127" s="91">
        <v>0</v>
      </c>
      <c r="I127" s="91">
        <v>0</v>
      </c>
      <c r="J127" s="93">
        <v>0</v>
      </c>
      <c r="K127" s="93">
        <v>0</v>
      </c>
      <c r="L127" s="93" t="str">
        <v/>
      </c>
      <c r="M127" s="93">
        <v>0</v>
      </c>
      <c r="N127" s="94">
        <v>0</v>
      </c>
      <c r="O127" s="94" t="str">
        <v/>
      </c>
      <c r="P127" s="93">
        <v>0</v>
      </c>
      <c r="Q127" s="92">
        <v>0</v>
      </c>
    </row>
    <row r="128" spans="2:17" x14ac:dyDescent="0.25">
      <c r="B128" s="92" t="str">
        <v>Main</v>
      </c>
      <c r="C128" s="90" t="str">
        <v>Cat Scan Roof 1st Floor</v>
      </c>
      <c r="D128" s="91">
        <v>0</v>
      </c>
      <c r="E128" s="92" t="str">
        <v>PRE</v>
      </c>
      <c r="F128" s="92">
        <v>0</v>
      </c>
      <c r="G128" s="92" t="str">
        <v>ZLP (MERV 10) Pleat</v>
      </c>
      <c r="H128" s="91">
        <v>0</v>
      </c>
      <c r="I128" s="91">
        <v>0</v>
      </c>
      <c r="J128" s="93" t="str">
        <v>16x16x2</v>
      </c>
      <c r="K128" s="93">
        <v>4</v>
      </c>
      <c r="L128" s="93" t="str">
        <v>90 Days</v>
      </c>
      <c r="M128" s="93">
        <v>28830</v>
      </c>
      <c r="N128" s="94">
        <v>46029</v>
      </c>
      <c r="O128" s="94">
        <v>46119</v>
      </c>
      <c r="P128" s="93">
        <v>28830</v>
      </c>
      <c r="Q128" s="92">
        <v>0</v>
      </c>
    </row>
    <row r="129" spans="2:17" x14ac:dyDescent="0.25">
      <c r="B129" s="92" t="str">
        <v>Main</v>
      </c>
      <c r="C129" s="90" t="str">
        <v>Cat Scan Roof 1st Floor</v>
      </c>
      <c r="D129" s="91">
        <v>0</v>
      </c>
      <c r="E129" s="92" t="str">
        <v>FINAL</v>
      </c>
      <c r="F129" s="92">
        <v>0</v>
      </c>
      <c r="G129" s="92" t="str">
        <v>F8, 4V-Bank Filter</v>
      </c>
      <c r="H129" s="91">
        <v>0</v>
      </c>
      <c r="I129" s="91">
        <v>0</v>
      </c>
      <c r="J129" s="93" t="str">
        <v>24x24x12</v>
      </c>
      <c r="K129" s="93">
        <v>1</v>
      </c>
      <c r="L129" s="93" t="str">
        <v>18 Months</v>
      </c>
      <c r="M129" s="93">
        <v>27249</v>
      </c>
      <c r="N129" s="94">
        <v>45840</v>
      </c>
      <c r="O129" s="94">
        <v>46387</v>
      </c>
      <c r="P129" s="93">
        <v>0</v>
      </c>
      <c r="Q129" s="92">
        <v>0</v>
      </c>
    </row>
    <row r="130" spans="2:17" x14ac:dyDescent="0.25">
      <c r="B130" s="92">
        <v>0</v>
      </c>
      <c r="C130" s="90">
        <v>0</v>
      </c>
      <c r="D130" s="91">
        <v>0</v>
      </c>
      <c r="E130" s="92" t="str">
        <v/>
      </c>
      <c r="F130" s="92">
        <v>0</v>
      </c>
      <c r="G130" s="92">
        <v>0</v>
      </c>
      <c r="H130" s="91">
        <v>0</v>
      </c>
      <c r="I130" s="91">
        <v>0</v>
      </c>
      <c r="J130" s="93">
        <v>0</v>
      </c>
      <c r="K130" s="93">
        <v>0</v>
      </c>
      <c r="L130" s="93" t="str">
        <v/>
      </c>
      <c r="M130" s="93">
        <v>0</v>
      </c>
      <c r="N130" s="94">
        <v>0</v>
      </c>
      <c r="O130" s="94" t="str">
        <v/>
      </c>
      <c r="P130" s="93">
        <v>0</v>
      </c>
      <c r="Q130" s="92">
        <v>0</v>
      </c>
    </row>
    <row r="131" spans="2:17" x14ac:dyDescent="0.25">
      <c r="B131" s="92" t="str">
        <v>Main</v>
      </c>
      <c r="C131" s="90" t="str">
        <v>Regina McParlin 
Education Center</v>
      </c>
      <c r="D131" s="91">
        <v>0</v>
      </c>
      <c r="E131" s="92" t="str">
        <v>PRE</v>
      </c>
      <c r="F131" s="92">
        <v>0</v>
      </c>
      <c r="G131" s="92" t="str">
        <v>ZLP (MERV 10) Pleat</v>
      </c>
      <c r="H131" s="91">
        <v>0</v>
      </c>
      <c r="I131" s="91">
        <v>0</v>
      </c>
      <c r="J131" s="93" t="str">
        <v>20x20x4</v>
      </c>
      <c r="K131" s="93">
        <v>12</v>
      </c>
      <c r="L131" s="93" t="str">
        <v>90 Days</v>
      </c>
      <c r="M131" s="93">
        <v>28830</v>
      </c>
      <c r="N131" s="94">
        <v>46029</v>
      </c>
      <c r="O131" s="94">
        <v>46119</v>
      </c>
      <c r="P131" s="93">
        <v>28830</v>
      </c>
      <c r="Q131" s="92" t="str">
        <v>changed from 20x20x2 -&gt; 20x20x4 w qt 12 approved by Byron (according to edgars email)</v>
      </c>
    </row>
    <row r="132" spans="2:17" x14ac:dyDescent="0.25">
      <c r="B132" s="92">
        <v>0</v>
      </c>
      <c r="C132" s="90">
        <v>0</v>
      </c>
      <c r="D132" s="91">
        <v>0</v>
      </c>
      <c r="E132" s="92" t="str">
        <v/>
      </c>
      <c r="F132" s="92">
        <v>0</v>
      </c>
      <c r="G132" s="92">
        <v>0</v>
      </c>
      <c r="H132" s="91">
        <v>0</v>
      </c>
      <c r="I132" s="91">
        <v>0</v>
      </c>
      <c r="J132" s="93">
        <v>0</v>
      </c>
      <c r="K132" s="93">
        <v>0</v>
      </c>
      <c r="L132" s="93" t="str">
        <v/>
      </c>
      <c r="M132" s="93">
        <v>0</v>
      </c>
      <c r="N132" s="94">
        <v>0</v>
      </c>
      <c r="O132" s="94" t="str">
        <v/>
      </c>
      <c r="P132" s="93">
        <v>0</v>
      </c>
      <c r="Q132" s="92">
        <v>0</v>
      </c>
    </row>
    <row r="133" spans="2:17" x14ac:dyDescent="0.25">
      <c r="B133" s="92" t="str">
        <v xml:space="preserve">Main </v>
      </c>
      <c r="C133" s="90" t="str">
        <v>Pump Room</v>
      </c>
      <c r="D133" s="91">
        <v>0</v>
      </c>
      <c r="E133" s="92" t="str">
        <v>PRE</v>
      </c>
      <c r="F133" s="92">
        <v>0</v>
      </c>
      <c r="G133" s="92" t="str">
        <v>ZLP (MERV 10) Pleat</v>
      </c>
      <c r="H133" s="91">
        <v>0</v>
      </c>
      <c r="I133" s="91">
        <v>0</v>
      </c>
      <c r="J133" s="93" t="str">
        <v>16x25x2</v>
      </c>
      <c r="K133" s="93">
        <v>2</v>
      </c>
      <c r="L133" s="93" t="str">
        <v>90 Days</v>
      </c>
      <c r="M133" s="93">
        <v>28830</v>
      </c>
      <c r="N133" s="94">
        <v>46029</v>
      </c>
      <c r="O133" s="94">
        <v>46119</v>
      </c>
      <c r="P133" s="93">
        <v>28830</v>
      </c>
      <c r="Q133" s="92">
        <v>0</v>
      </c>
    </row>
    <row r="134" spans="2:17" x14ac:dyDescent="0.25">
      <c r="B134" s="92">
        <v>0</v>
      </c>
      <c r="C134" s="90">
        <v>0</v>
      </c>
      <c r="D134" s="91">
        <v>0</v>
      </c>
      <c r="E134" s="92" t="str">
        <v/>
      </c>
      <c r="F134" s="92">
        <v>0</v>
      </c>
      <c r="G134" s="92">
        <v>0</v>
      </c>
      <c r="H134" s="91">
        <v>0</v>
      </c>
      <c r="I134" s="91">
        <v>0</v>
      </c>
      <c r="J134" s="93">
        <v>0</v>
      </c>
      <c r="K134" s="93">
        <v>0</v>
      </c>
      <c r="L134" s="93" t="str">
        <v/>
      </c>
      <c r="M134" s="93">
        <v>0</v>
      </c>
      <c r="N134" s="94">
        <v>0</v>
      </c>
      <c r="O134" s="94" t="str">
        <v/>
      </c>
      <c r="P134" s="93">
        <v>0</v>
      </c>
      <c r="Q134" s="92">
        <v>0</v>
      </c>
    </row>
    <row r="135" spans="2:17" x14ac:dyDescent="0.25">
      <c r="B135" s="92" t="str">
        <v>Main</v>
      </c>
      <c r="C135" s="90" t="str">
        <v>PH</v>
      </c>
      <c r="D135" s="91">
        <v>0</v>
      </c>
      <c r="E135" s="92" t="str">
        <v>PRE</v>
      </c>
      <c r="F135" s="92" t="str">
        <v>Fast Co.</v>
      </c>
      <c r="G135" s="92" t="str">
        <v>HVP (MERV 10) Pleat</v>
      </c>
      <c r="H135" s="91">
        <v>0</v>
      </c>
      <c r="I135" s="91">
        <v>0</v>
      </c>
      <c r="J135" s="93" t="str">
        <v>20x20x1</v>
      </c>
      <c r="K135" s="93">
        <v>2</v>
      </c>
      <c r="L135" s="93" t="str">
        <v>90 Days</v>
      </c>
      <c r="M135" s="93">
        <v>28830</v>
      </c>
      <c r="N135" s="94">
        <v>46029</v>
      </c>
      <c r="O135" s="94">
        <v>46119</v>
      </c>
      <c r="P135" s="93">
        <v>28830</v>
      </c>
      <c r="Q135" s="92">
        <v>0</v>
      </c>
    </row>
    <row r="136" spans="2:17" x14ac:dyDescent="0.25">
      <c r="B136" s="92">
        <v>0</v>
      </c>
      <c r="C136" s="90">
        <v>0</v>
      </c>
      <c r="D136" s="91">
        <v>0</v>
      </c>
      <c r="E136" s="92" t="str">
        <v/>
      </c>
      <c r="F136" s="92">
        <v>0</v>
      </c>
      <c r="G136" s="92">
        <v>0</v>
      </c>
      <c r="H136" s="91">
        <v>0</v>
      </c>
      <c r="I136" s="91">
        <v>0</v>
      </c>
      <c r="J136" s="93">
        <v>0</v>
      </c>
      <c r="K136" s="93">
        <v>0</v>
      </c>
      <c r="L136" s="93" t="str">
        <v/>
      </c>
      <c r="M136" s="93">
        <v>0</v>
      </c>
      <c r="N136" s="94">
        <v>0</v>
      </c>
      <c r="O136" s="94" t="str">
        <v/>
      </c>
      <c r="P136" s="93">
        <v>0</v>
      </c>
      <c r="Q136" s="92">
        <v>0</v>
      </c>
    </row>
    <row r="137" spans="2:17" x14ac:dyDescent="0.25">
      <c r="B137" s="92" t="str">
        <v>Main</v>
      </c>
      <c r="C137" s="90" t="str">
        <v>Pharmacy 250</v>
      </c>
      <c r="D137" s="91">
        <v>0</v>
      </c>
      <c r="E137" s="92" t="str">
        <v>PRE</v>
      </c>
      <c r="F137" s="92">
        <v>0</v>
      </c>
      <c r="G137" s="92" t="str">
        <v>HVP (MERV 10) Pleat</v>
      </c>
      <c r="H137" s="91">
        <v>0</v>
      </c>
      <c r="I137" s="91">
        <v>0</v>
      </c>
      <c r="J137" s="93" t="str">
        <v>24x24x2</v>
      </c>
      <c r="K137" s="93">
        <v>3</v>
      </c>
      <c r="L137" s="93" t="str">
        <v>180 Days</v>
      </c>
      <c r="M137" s="93">
        <v>27932</v>
      </c>
      <c r="N137" s="94">
        <v>45937</v>
      </c>
      <c r="O137" s="94">
        <v>46117</v>
      </c>
      <c r="P137" s="93">
        <v>27932</v>
      </c>
      <c r="Q137" s="92" t="str">
        <v>Changed from 90Day frequency -&gt; 180Day Frequency per Kevin and Miss Ivy's request; Edgar Email Subject:  QOV pharmacy frequency</v>
      </c>
    </row>
    <row r="138" spans="2:17" x14ac:dyDescent="0.25">
      <c r="B138" s="92" t="str">
        <v>Main</v>
      </c>
      <c r="C138" s="90" t="str">
        <v>Pharmacy 250</v>
      </c>
      <c r="D138" s="91">
        <v>0</v>
      </c>
      <c r="E138" s="92" t="str">
        <v>PRE</v>
      </c>
      <c r="F138" s="92">
        <v>0</v>
      </c>
      <c r="G138" s="92" t="str">
        <v>HVP (MERV 10) Pleat</v>
      </c>
      <c r="H138" s="91">
        <v>0</v>
      </c>
      <c r="I138" s="91">
        <v>0</v>
      </c>
      <c r="J138" s="93" t="str">
        <v>12x24x2</v>
      </c>
      <c r="K138" s="93">
        <v>2</v>
      </c>
      <c r="L138" s="93" t="str">
        <v>180 Days</v>
      </c>
      <c r="M138" s="93">
        <v>27932</v>
      </c>
      <c r="N138" s="94">
        <v>45937</v>
      </c>
      <c r="O138" s="94">
        <v>46117</v>
      </c>
      <c r="P138" s="93">
        <v>27932</v>
      </c>
      <c r="Q138" s="92" t="str">
        <v>Changed from 90Day frequency -&gt; 180Day Frequency per Kevin and Miss Ivy's request; Edgar Email Subject:  QOV pharmacy frequency</v>
      </c>
    </row>
    <row r="139" spans="2:17" x14ac:dyDescent="0.25">
      <c r="B139" s="92" t="str">
        <v>Main</v>
      </c>
      <c r="C139" s="90" t="str">
        <v>Pharmacy 250</v>
      </c>
      <c r="D139" s="91">
        <v>0</v>
      </c>
      <c r="E139" s="92" t="str">
        <v>PRE</v>
      </c>
      <c r="F139" s="92">
        <v>0</v>
      </c>
      <c r="G139" s="92" t="str">
        <v>HVP (MERV 10) Pleat</v>
      </c>
      <c r="H139" s="91">
        <v>0</v>
      </c>
      <c r="I139" s="91">
        <v>0</v>
      </c>
      <c r="J139" s="93" t="str">
        <v>25x30x1</v>
      </c>
      <c r="K139" s="93">
        <v>9</v>
      </c>
      <c r="L139" s="93" t="str">
        <v>180 Days</v>
      </c>
      <c r="M139" s="93">
        <v>27932</v>
      </c>
      <c r="N139" s="94">
        <v>45937</v>
      </c>
      <c r="O139" s="94">
        <v>46117</v>
      </c>
      <c r="P139" s="93">
        <v>27932</v>
      </c>
      <c r="Q139" s="92" t="str">
        <v>Changed from 90Day frequency -&gt; 180Day Frequency per Kevin and Miss Ivy's request; Edgar Email Subject:  QOV pharmacy frequency</v>
      </c>
    </row>
    <row r="140" spans="2:17" x14ac:dyDescent="0.25">
      <c r="B140" s="92">
        <v>0</v>
      </c>
      <c r="C140" s="90">
        <v>0</v>
      </c>
      <c r="D140" s="91">
        <v>0</v>
      </c>
      <c r="E140" s="92" t="str">
        <v/>
      </c>
      <c r="F140" s="92">
        <v>0</v>
      </c>
      <c r="G140" s="92">
        <v>0</v>
      </c>
      <c r="H140" s="91">
        <v>0</v>
      </c>
      <c r="I140" s="91">
        <v>0</v>
      </c>
      <c r="J140" s="93">
        <v>0</v>
      </c>
      <c r="K140" s="93">
        <v>0</v>
      </c>
      <c r="L140" s="93" t="str">
        <v/>
      </c>
      <c r="M140" s="93">
        <v>0</v>
      </c>
      <c r="N140" s="94">
        <v>0</v>
      </c>
      <c r="O140" s="94" t="str">
        <v/>
      </c>
      <c r="P140" s="93">
        <v>0</v>
      </c>
      <c r="Q140" s="92">
        <v>0</v>
      </c>
    </row>
    <row r="141" spans="2:17" x14ac:dyDescent="0.25">
      <c r="B141" s="92" t="str">
        <v>Main</v>
      </c>
      <c r="C141" s="90" t="str">
        <v>New Building</v>
      </c>
      <c r="D141" s="91">
        <v>0</v>
      </c>
      <c r="E141" s="92" t="str">
        <v>FINAL</v>
      </c>
      <c r="F141" s="92">
        <v>0</v>
      </c>
      <c r="G141" s="92" t="str">
        <v>F8, 4V-Bank Filter</v>
      </c>
      <c r="H141" s="91">
        <v>0</v>
      </c>
      <c r="I141" s="91">
        <v>0</v>
      </c>
      <c r="J141" s="93" t="str">
        <v>24x24x12</v>
      </c>
      <c r="K141" s="93">
        <v>14</v>
      </c>
      <c r="L141" s="93" t="str">
        <v>18 Months</v>
      </c>
      <c r="M141" s="93">
        <v>8332</v>
      </c>
      <c r="N141" s="94" t="str">
        <v>Refers to Pav Center AC 1-2 initial changeout</v>
      </c>
      <c r="O141" s="94" t="e">
        <v>#VALUE!</v>
      </c>
      <c r="P141" s="93">
        <v>0</v>
      </c>
      <c r="Q141" s="92">
        <v>0</v>
      </c>
    </row>
    <row r="142" spans="2:17" x14ac:dyDescent="0.25">
      <c r="B142" s="92">
        <v>0</v>
      </c>
      <c r="C142" s="90">
        <v>0</v>
      </c>
      <c r="D142" s="91">
        <v>0</v>
      </c>
      <c r="E142" s="92">
        <v>0</v>
      </c>
      <c r="F142" s="92">
        <v>0</v>
      </c>
      <c r="G142" s="92">
        <v>0</v>
      </c>
      <c r="H142" s="91">
        <v>0</v>
      </c>
      <c r="I142" s="91">
        <v>0</v>
      </c>
      <c r="J142" s="93">
        <v>0</v>
      </c>
      <c r="K142" s="93">
        <v>0</v>
      </c>
      <c r="L142" s="93">
        <v>0</v>
      </c>
      <c r="M142" s="93">
        <v>0</v>
      </c>
      <c r="N142" s="94">
        <v>0</v>
      </c>
      <c r="O142" s="94">
        <v>0</v>
      </c>
      <c r="P142" s="93">
        <v>0</v>
      </c>
      <c r="Q142" s="92">
        <v>0</v>
      </c>
    </row>
    <row r="143" spans="2:17" x14ac:dyDescent="0.25">
      <c r="B143" s="92" t="str">
        <v>Main</v>
      </c>
      <c r="C143" s="90" t="str">
        <v>Chapel</v>
      </c>
      <c r="D143" s="91">
        <v>0</v>
      </c>
      <c r="E143" s="92" t="str">
        <v>PRE</v>
      </c>
      <c r="F143" s="92">
        <v>0</v>
      </c>
      <c r="G143" s="92" t="str">
        <v>Poly Link, 2-PLY</v>
      </c>
      <c r="H143" s="91">
        <v>0</v>
      </c>
      <c r="I143" s="91">
        <v>0</v>
      </c>
      <c r="J143" s="93" t="str">
        <v>25x75</v>
      </c>
      <c r="K143" s="93">
        <v>1</v>
      </c>
      <c r="L143" s="93" t="str">
        <v>30 Days</v>
      </c>
      <c r="M143" s="93">
        <v>28830</v>
      </c>
      <c r="N143" s="94">
        <v>46029</v>
      </c>
      <c r="O143" s="94">
        <v>46059</v>
      </c>
      <c r="P143" s="93">
        <v>28550</v>
      </c>
      <c r="Q143" s="92" t="str">
        <v>Added per Byron's request; Edgars email subject: "Adding of Chapel AH"</v>
      </c>
    </row>
    <row r="144" spans="2:17" x14ac:dyDescent="0.25">
      <c r="B144" s="92">
        <v>0</v>
      </c>
      <c r="C144" s="90">
        <v>0</v>
      </c>
      <c r="D144" s="91">
        <v>0</v>
      </c>
      <c r="E144" s="92" t="str">
        <v/>
      </c>
      <c r="F144" s="92">
        <v>0</v>
      </c>
      <c r="G144" s="92">
        <v>0</v>
      </c>
      <c r="H144" s="91">
        <v>0</v>
      </c>
      <c r="I144" s="91">
        <v>0</v>
      </c>
      <c r="J144" s="93">
        <v>0</v>
      </c>
      <c r="K144" s="93">
        <v>0</v>
      </c>
      <c r="L144" s="93" t="str">
        <v/>
      </c>
      <c r="M144" s="93">
        <v>0</v>
      </c>
      <c r="N144" s="94">
        <v>0</v>
      </c>
      <c r="O144" s="94" t="str">
        <v/>
      </c>
      <c r="P144" s="93">
        <v>0</v>
      </c>
      <c r="Q144" s="92">
        <v>0</v>
      </c>
    </row>
    <row r="145" spans="2:17" x14ac:dyDescent="0.25">
      <c r="B145" s="92">
        <v>0</v>
      </c>
      <c r="C145" s="90">
        <v>0</v>
      </c>
      <c r="D145" s="91">
        <v>0</v>
      </c>
      <c r="E145" s="92" t="str">
        <v/>
      </c>
      <c r="F145" s="92">
        <v>0</v>
      </c>
      <c r="G145" s="92">
        <v>0</v>
      </c>
      <c r="H145" s="91">
        <v>0</v>
      </c>
      <c r="I145" s="91">
        <v>0</v>
      </c>
      <c r="J145" s="93" t="str">
        <v>Contract #8596 PO #M24060 (NEW BLDG PAV CENTER)</v>
      </c>
      <c r="K145" s="93">
        <v>0</v>
      </c>
      <c r="L145" s="93">
        <v>0</v>
      </c>
      <c r="M145" s="93">
        <v>0</v>
      </c>
      <c r="N145" s="94">
        <v>0</v>
      </c>
      <c r="O145" s="94" t="str">
        <v/>
      </c>
      <c r="P145" s="93">
        <v>0</v>
      </c>
      <c r="Q145" s="92">
        <v>0</v>
      </c>
    </row>
    <row r="146" spans="2:17" x14ac:dyDescent="0.25">
      <c r="B146" s="92" t="str">
        <v>PAV-Cancer Center</v>
      </c>
      <c r="C146" s="90">
        <v>0</v>
      </c>
      <c r="D146" s="91">
        <v>0</v>
      </c>
      <c r="E146" s="92" t="str">
        <v>PRE</v>
      </c>
      <c r="F146" s="92" t="str">
        <v>AC2-1</v>
      </c>
      <c r="G146" s="92" t="str">
        <v>HVP (MERV 10) Pleat</v>
      </c>
      <c r="H146" s="91">
        <v>0</v>
      </c>
      <c r="I146" s="91">
        <v>0</v>
      </c>
      <c r="J146" s="93" t="str">
        <v>16x25x2</v>
      </c>
      <c r="K146" s="93">
        <v>33</v>
      </c>
      <c r="L146" s="93" t="str">
        <v>90 Days</v>
      </c>
      <c r="M146" s="93">
        <v>28831</v>
      </c>
      <c r="N146" s="94">
        <v>46029</v>
      </c>
      <c r="O146" s="94">
        <v>46119</v>
      </c>
      <c r="P146" s="93">
        <v>28831</v>
      </c>
      <c r="Q146" s="92">
        <v>0</v>
      </c>
    </row>
    <row r="147" spans="2:17" x14ac:dyDescent="0.25">
      <c r="B147" s="92" t="str">
        <v>PAV-Cancer Center</v>
      </c>
      <c r="C147" s="90">
        <v>0</v>
      </c>
      <c r="D147" s="91">
        <v>0</v>
      </c>
      <c r="E147" s="92" t="str">
        <v>PRE</v>
      </c>
      <c r="F147" s="92" t="str">
        <v>AC2-1</v>
      </c>
      <c r="G147" s="92" t="str">
        <v>HVP (MERV 10) Pleat</v>
      </c>
      <c r="H147" s="91">
        <v>0</v>
      </c>
      <c r="I147" s="91">
        <v>0</v>
      </c>
      <c r="J147" s="93" t="str">
        <v xml:space="preserve">16x20x2 </v>
      </c>
      <c r="K147" s="93">
        <v>11</v>
      </c>
      <c r="L147" s="93" t="str">
        <v>90 Days</v>
      </c>
      <c r="M147" s="93">
        <v>28831</v>
      </c>
      <c r="N147" s="94">
        <v>46029</v>
      </c>
      <c r="O147" s="94">
        <v>46119</v>
      </c>
      <c r="P147" s="93">
        <v>28831</v>
      </c>
      <c r="Q147" s="92">
        <v>0</v>
      </c>
    </row>
    <row r="148" spans="2:17" x14ac:dyDescent="0.25">
      <c r="B148" s="92" t="str">
        <v>PAV-Cancer Center</v>
      </c>
      <c r="C148" s="90">
        <v>0</v>
      </c>
      <c r="D148" s="91">
        <v>0</v>
      </c>
      <c r="E148" s="92" t="str">
        <v>PRE</v>
      </c>
      <c r="F148" s="92" t="str">
        <v>AC2-1</v>
      </c>
      <c r="G148" s="92" t="str">
        <v>HVP (MERV 10) Pleat</v>
      </c>
      <c r="H148" s="91">
        <v>0</v>
      </c>
      <c r="I148" s="91">
        <v>0</v>
      </c>
      <c r="J148" s="93" t="str">
        <v xml:space="preserve">24x24x2 </v>
      </c>
      <c r="K148" s="93">
        <v>16</v>
      </c>
      <c r="L148" s="93" t="str">
        <v>Removed</v>
      </c>
      <c r="M148" s="93">
        <v>24467</v>
      </c>
      <c r="N148" s="94">
        <v>45414</v>
      </c>
      <c r="O148" s="94" t="str">
        <v/>
      </c>
      <c r="P148" s="93">
        <v>24674</v>
      </c>
      <c r="Q148" s="92">
        <v>0</v>
      </c>
    </row>
    <row r="149" spans="2:17" x14ac:dyDescent="0.25">
      <c r="B149" s="92" t="str">
        <v>PAV-Cancer Center</v>
      </c>
      <c r="C149" s="90">
        <v>0</v>
      </c>
      <c r="D149" s="91">
        <v>0</v>
      </c>
      <c r="E149" s="92" t="str">
        <v>FINAL</v>
      </c>
      <c r="F149" s="92" t="str">
        <v>AC2-1</v>
      </c>
      <c r="G149" s="92" t="str">
        <v>F8, 4V-Bank Filter</v>
      </c>
      <c r="H149" s="91">
        <v>0</v>
      </c>
      <c r="I149" s="91">
        <v>0</v>
      </c>
      <c r="J149" s="93" t="str">
        <v>24x24x12</v>
      </c>
      <c r="K149" s="93">
        <v>16</v>
      </c>
      <c r="L149" s="93" t="str">
        <v>18 Months</v>
      </c>
      <c r="M149" s="93">
        <v>28131</v>
      </c>
      <c r="N149" s="94">
        <v>45980</v>
      </c>
      <c r="O149" s="94">
        <v>46527</v>
      </c>
      <c r="P149" s="93">
        <v>28131</v>
      </c>
      <c r="Q149" s="92">
        <v>0</v>
      </c>
    </row>
    <row r="150" spans="2:17" x14ac:dyDescent="0.25">
      <c r="B150" s="92">
        <v>0</v>
      </c>
      <c r="C150" s="90">
        <v>0</v>
      </c>
      <c r="D150" s="91">
        <v>0</v>
      </c>
      <c r="E150" s="92" t="str">
        <v/>
      </c>
      <c r="F150" s="92">
        <v>0</v>
      </c>
      <c r="G150" s="92">
        <v>0</v>
      </c>
      <c r="H150" s="91">
        <v>0</v>
      </c>
      <c r="I150" s="91">
        <v>0</v>
      </c>
      <c r="J150" s="93">
        <v>0</v>
      </c>
      <c r="K150" s="93">
        <v>0</v>
      </c>
      <c r="L150" s="93" t="str">
        <v/>
      </c>
      <c r="M150" s="93">
        <v>0</v>
      </c>
      <c r="N150" s="94">
        <v>0</v>
      </c>
      <c r="O150" s="94" t="str">
        <v/>
      </c>
      <c r="P150" s="93">
        <v>0</v>
      </c>
      <c r="Q150" s="92">
        <v>0</v>
      </c>
    </row>
    <row r="151" spans="2:17" x14ac:dyDescent="0.25">
      <c r="B151" s="92" t="str">
        <v>PAV-Cancer Center</v>
      </c>
      <c r="C151" s="90">
        <v>0</v>
      </c>
      <c r="D151" s="91">
        <v>0</v>
      </c>
      <c r="E151" s="92" t="str">
        <v>PRE</v>
      </c>
      <c r="F151" s="92" t="str">
        <v>AC2-2</v>
      </c>
      <c r="G151" s="92" t="str">
        <v>HVP (MERV 10) Pleat</v>
      </c>
      <c r="H151" s="91">
        <v>0</v>
      </c>
      <c r="I151" s="91">
        <v>0</v>
      </c>
      <c r="J151" s="93" t="str">
        <v>16x25x2</v>
      </c>
      <c r="K151" s="93">
        <v>15</v>
      </c>
      <c r="L151" s="93" t="str">
        <v>90 Days</v>
      </c>
      <c r="M151" s="93">
        <v>28831</v>
      </c>
      <c r="N151" s="94">
        <v>46029</v>
      </c>
      <c r="O151" s="94">
        <v>46119</v>
      </c>
      <c r="P151" s="93">
        <v>28831</v>
      </c>
      <c r="Q151" s="92" t="str">
        <v xml:space="preserve"> qty 10-&gt;15 per PS 27933</v>
      </c>
    </row>
    <row r="152" spans="2:17" x14ac:dyDescent="0.25">
      <c r="B152" s="92" t="str">
        <v>PAV-Cancer Center</v>
      </c>
      <c r="C152" s="90">
        <v>0</v>
      </c>
      <c r="D152" s="91">
        <v>0</v>
      </c>
      <c r="E152" s="92" t="str">
        <v>PRE</v>
      </c>
      <c r="F152" s="92" t="str">
        <v>AC2-2</v>
      </c>
      <c r="G152" s="92" t="str">
        <v>HVP (MERV 10) Pleat</v>
      </c>
      <c r="H152" s="91">
        <v>0</v>
      </c>
      <c r="I152" s="91">
        <v>0</v>
      </c>
      <c r="J152" s="93" t="str">
        <v>16x20x2</v>
      </c>
      <c r="K152" s="93">
        <v>5</v>
      </c>
      <c r="L152" s="93" t="str">
        <v>Removed</v>
      </c>
      <c r="M152" s="93">
        <v>27933</v>
      </c>
      <c r="N152" s="94">
        <v>45937</v>
      </c>
      <c r="O152" s="94" t="str">
        <v/>
      </c>
      <c r="P152" s="93">
        <v>27933</v>
      </c>
      <c r="Q152" s="92" t="str">
        <v>Removed per PS 27933</v>
      </c>
    </row>
    <row r="153" spans="2:17" x14ac:dyDescent="0.25">
      <c r="B153" s="92" t="str">
        <v>PAV-Cancer Center</v>
      </c>
      <c r="C153" s="90">
        <v>0</v>
      </c>
      <c r="D153" s="91">
        <v>0</v>
      </c>
      <c r="E153" s="92" t="str">
        <v>PRE</v>
      </c>
      <c r="F153" s="92" t="str">
        <v>AC2-2</v>
      </c>
      <c r="G153" s="92" t="str">
        <v>HVP (MERV 10) Pleat</v>
      </c>
      <c r="H153" s="91">
        <v>0</v>
      </c>
      <c r="I153" s="91">
        <v>0</v>
      </c>
      <c r="J153" s="93" t="str">
        <v>16x16x2</v>
      </c>
      <c r="K153" s="93">
        <v>5</v>
      </c>
      <c r="L153" s="93" t="str">
        <v>90 Days</v>
      </c>
      <c r="M153" s="93">
        <v>28831</v>
      </c>
      <c r="N153" s="94">
        <v>46029</v>
      </c>
      <c r="O153" s="94">
        <v>46119</v>
      </c>
      <c r="P153" s="93">
        <v>28831</v>
      </c>
      <c r="Q153" s="92">
        <v>0</v>
      </c>
    </row>
    <row r="154" spans="2:17" x14ac:dyDescent="0.25">
      <c r="B154" s="92" t="str">
        <v>PAV-Cancer Center</v>
      </c>
      <c r="C154" s="90">
        <v>0</v>
      </c>
      <c r="D154" s="91">
        <v>0</v>
      </c>
      <c r="E154" s="92" t="str">
        <v>FINAL</v>
      </c>
      <c r="F154" s="92" t="str">
        <v>AC2-2</v>
      </c>
      <c r="G154" s="92" t="str">
        <v>F8, 4V-Bank Filter</v>
      </c>
      <c r="H154" s="91">
        <v>0</v>
      </c>
      <c r="I154" s="91">
        <v>0</v>
      </c>
      <c r="J154" s="93" t="str">
        <v>24x24x12</v>
      </c>
      <c r="K154" s="93">
        <v>4</v>
      </c>
      <c r="L154" s="93" t="str">
        <v>18 Months</v>
      </c>
      <c r="M154" s="93">
        <v>28131</v>
      </c>
      <c r="N154" s="94">
        <v>45980</v>
      </c>
      <c r="O154" s="94">
        <v>46527</v>
      </c>
      <c r="P154" s="93">
        <v>28131</v>
      </c>
      <c r="Q154" s="92">
        <v>0</v>
      </c>
    </row>
    <row r="155" spans="2:17" x14ac:dyDescent="0.25">
      <c r="B155" s="92" t="str">
        <v>PAV-Cancer Center</v>
      </c>
      <c r="C155" s="90">
        <v>0</v>
      </c>
      <c r="D155" s="91">
        <v>0</v>
      </c>
      <c r="E155" s="92" t="str">
        <v>FINAL</v>
      </c>
      <c r="F155" s="92" t="str">
        <v>AC2-2</v>
      </c>
      <c r="G155" s="92" t="str">
        <v>F8, 4V-Bank Filter</v>
      </c>
      <c r="H155" s="91">
        <v>0</v>
      </c>
      <c r="I155" s="91">
        <v>0</v>
      </c>
      <c r="J155" s="93" t="str">
        <v>12x24x12</v>
      </c>
      <c r="K155" s="93">
        <v>4</v>
      </c>
      <c r="L155" s="93" t="str">
        <v>18 Months</v>
      </c>
      <c r="M155" s="93">
        <v>28131</v>
      </c>
      <c r="N155" s="94">
        <v>45980</v>
      </c>
      <c r="O155" s="94">
        <v>46527</v>
      </c>
      <c r="P155" s="93">
        <v>28131</v>
      </c>
      <c r="Q155" s="92">
        <v>0</v>
      </c>
    </row>
    <row r="156" spans="2:17" x14ac:dyDescent="0.25">
      <c r="B156" s="92">
        <v>0</v>
      </c>
      <c r="C156" s="90">
        <v>0</v>
      </c>
      <c r="D156" s="91">
        <v>0</v>
      </c>
      <c r="E156" s="92" t="str">
        <v/>
      </c>
      <c r="F156" s="92">
        <v>0</v>
      </c>
      <c r="G156" s="92">
        <v>0</v>
      </c>
      <c r="H156" s="91">
        <v>0</v>
      </c>
      <c r="I156" s="91">
        <v>0</v>
      </c>
      <c r="J156" s="93">
        <v>0</v>
      </c>
      <c r="K156" s="93">
        <v>0</v>
      </c>
      <c r="L156" s="93" t="str">
        <v/>
      </c>
      <c r="M156" s="93">
        <v>0</v>
      </c>
      <c r="N156" s="94">
        <v>0</v>
      </c>
      <c r="O156" s="94" t="str">
        <v/>
      </c>
      <c r="P156" s="93">
        <v>0</v>
      </c>
      <c r="Q156" s="92">
        <v>0</v>
      </c>
    </row>
    <row r="157" spans="2:17" x14ac:dyDescent="0.25">
      <c r="B157" s="92" t="str">
        <v>PAV-Cancer Center</v>
      </c>
      <c r="C157" s="90">
        <v>0</v>
      </c>
      <c r="D157" s="91">
        <v>0</v>
      </c>
      <c r="E157" s="92" t="str">
        <v>PRE</v>
      </c>
      <c r="F157" s="92" t="str">
        <v>AC1-1</v>
      </c>
      <c r="G157" s="92" t="str">
        <v>HVP (MERV 10) Pleat</v>
      </c>
      <c r="H157" s="91">
        <v>0</v>
      </c>
      <c r="I157" s="91">
        <v>0</v>
      </c>
      <c r="J157" s="93" t="str">
        <v>20x24x2</v>
      </c>
      <c r="K157" s="93">
        <v>8</v>
      </c>
      <c r="L157" s="93" t="str">
        <v>90 Days</v>
      </c>
      <c r="M157" s="93">
        <v>28831</v>
      </c>
      <c r="N157" s="94">
        <v>46029</v>
      </c>
      <c r="O157" s="94">
        <v>46119</v>
      </c>
      <c r="P157" s="93">
        <v>28831</v>
      </c>
      <c r="Q157" s="92">
        <v>0</v>
      </c>
    </row>
    <row r="158" spans="2:17" x14ac:dyDescent="0.25">
      <c r="B158" s="92" t="str">
        <v>PAV-Cancer Center</v>
      </c>
      <c r="C158" s="90">
        <v>0</v>
      </c>
      <c r="D158" s="91">
        <v>0</v>
      </c>
      <c r="E158" s="92" t="str">
        <v>PRE</v>
      </c>
      <c r="F158" s="92" t="str">
        <v>AC1-1</v>
      </c>
      <c r="G158" s="92" t="str">
        <v>HVP (MERV 10) Pleat</v>
      </c>
      <c r="H158" s="91">
        <v>0</v>
      </c>
      <c r="I158" s="91">
        <v>0</v>
      </c>
      <c r="J158" s="93" t="str">
        <v>24x24x2</v>
      </c>
      <c r="K158" s="93">
        <v>4</v>
      </c>
      <c r="L158" s="93" t="str">
        <v>90 Days</v>
      </c>
      <c r="M158" s="93">
        <v>28831</v>
      </c>
      <c r="N158" s="94">
        <v>46029</v>
      </c>
      <c r="O158" s="94">
        <v>46119</v>
      </c>
      <c r="P158" s="93">
        <v>28831</v>
      </c>
      <c r="Q158" s="92">
        <v>0</v>
      </c>
    </row>
    <row r="159" spans="2:17" x14ac:dyDescent="0.25">
      <c r="B159" s="92" t="str">
        <v>PAV-Cancer Center</v>
      </c>
      <c r="C159" s="90">
        <v>0</v>
      </c>
      <c r="D159" s="91">
        <v>0</v>
      </c>
      <c r="E159" s="92" t="str">
        <v>FINAL</v>
      </c>
      <c r="F159" s="92" t="str">
        <v>AC1-1</v>
      </c>
      <c r="G159" s="92" t="str">
        <v>F8, 4V-Bank Filter</v>
      </c>
      <c r="H159" s="91">
        <v>0</v>
      </c>
      <c r="I159" s="91">
        <v>0</v>
      </c>
      <c r="J159" s="93" t="str">
        <v>20x24x12</v>
      </c>
      <c r="K159" s="93">
        <v>9</v>
      </c>
      <c r="L159" s="93" t="str">
        <v>18 Months</v>
      </c>
      <c r="M159" s="93">
        <v>28131</v>
      </c>
      <c r="N159" s="94">
        <v>45980</v>
      </c>
      <c r="O159" s="94">
        <v>46527</v>
      </c>
      <c r="P159" s="93">
        <v>28131</v>
      </c>
      <c r="Q159" s="92">
        <v>0</v>
      </c>
    </row>
    <row r="160" spans="2:17" x14ac:dyDescent="0.25">
      <c r="B160" s="92" t="str">
        <v>PAV-Cancer Center</v>
      </c>
      <c r="C160" s="90">
        <v>0</v>
      </c>
      <c r="D160" s="91">
        <v>0</v>
      </c>
      <c r="E160" s="92" t="str">
        <v>FINAL</v>
      </c>
      <c r="F160" s="92" t="str">
        <v>AC1-1</v>
      </c>
      <c r="G160" s="92" t="str">
        <v>F8, 3V-Bank Filter</v>
      </c>
      <c r="H160" s="91">
        <v>0</v>
      </c>
      <c r="I160" s="91">
        <v>0</v>
      </c>
      <c r="J160" s="93" t="str">
        <v>20x20x12</v>
      </c>
      <c r="K160" s="93">
        <v>2</v>
      </c>
      <c r="L160" s="93" t="str">
        <v>18 Months</v>
      </c>
      <c r="M160" s="93">
        <v>28131</v>
      </c>
      <c r="N160" s="94">
        <v>45980</v>
      </c>
      <c r="O160" s="94">
        <v>46527</v>
      </c>
      <c r="P160" s="93">
        <v>28131</v>
      </c>
      <c r="Q160" s="92">
        <v>0</v>
      </c>
    </row>
    <row r="161" spans="2:17" x14ac:dyDescent="0.25">
      <c r="B161" s="92">
        <v>0</v>
      </c>
      <c r="C161" s="90">
        <v>0</v>
      </c>
      <c r="D161" s="91">
        <v>0</v>
      </c>
      <c r="E161" s="92" t="str">
        <v/>
      </c>
      <c r="F161" s="92">
        <v>0</v>
      </c>
      <c r="G161" s="92">
        <v>0</v>
      </c>
      <c r="H161" s="91">
        <v>0</v>
      </c>
      <c r="I161" s="91">
        <v>0</v>
      </c>
      <c r="J161" s="93">
        <v>0</v>
      </c>
      <c r="K161" s="93">
        <v>0</v>
      </c>
      <c r="L161" s="93" t="str">
        <v/>
      </c>
      <c r="M161" s="93">
        <v>0</v>
      </c>
      <c r="N161" s="94">
        <v>0</v>
      </c>
      <c r="O161" s="94" t="str">
        <v/>
      </c>
      <c r="P161" s="93">
        <v>0</v>
      </c>
      <c r="Q161" s="92">
        <v>0</v>
      </c>
    </row>
    <row r="162" spans="2:17" x14ac:dyDescent="0.25">
      <c r="B162" s="92" t="str">
        <v>PAV-Cancer Center</v>
      </c>
      <c r="C162" s="90">
        <v>0</v>
      </c>
      <c r="D162" s="91">
        <v>0</v>
      </c>
      <c r="E162" s="92" t="str">
        <v>PRE</v>
      </c>
      <c r="F162" s="92" t="str">
        <v>AC1-2</v>
      </c>
      <c r="G162" s="92" t="str">
        <v>HVP (MERV 10) Pleat</v>
      </c>
      <c r="H162" s="91">
        <v>0</v>
      </c>
      <c r="I162" s="91">
        <v>0</v>
      </c>
      <c r="J162" s="93" t="str">
        <v>16x25x2</v>
      </c>
      <c r="K162" s="93">
        <v>21</v>
      </c>
      <c r="L162" s="93" t="str">
        <v>90 Days</v>
      </c>
      <c r="M162" s="93">
        <v>28831</v>
      </c>
      <c r="N162" s="94">
        <v>46029</v>
      </c>
      <c r="O162" s="94">
        <v>46119</v>
      </c>
      <c r="P162" s="93">
        <v>28831</v>
      </c>
      <c r="Q162" s="92">
        <v>0</v>
      </c>
    </row>
    <row r="163" spans="2:17" x14ac:dyDescent="0.25">
      <c r="B163" s="92" t="str">
        <v>PAV-Cancer Center</v>
      </c>
      <c r="C163" s="90">
        <v>0</v>
      </c>
      <c r="D163" s="91">
        <v>0</v>
      </c>
      <c r="E163" s="92" t="str">
        <v>PRE</v>
      </c>
      <c r="F163" s="92" t="str">
        <v>AC1-2</v>
      </c>
      <c r="G163" s="92" t="str">
        <v>HVP (MERV 10) Pleat</v>
      </c>
      <c r="H163" s="91">
        <v>0</v>
      </c>
      <c r="I163" s="91">
        <v>0</v>
      </c>
      <c r="J163" s="93" t="str">
        <v>16x20x2</v>
      </c>
      <c r="K163" s="93">
        <v>7</v>
      </c>
      <c r="L163" s="93" t="str">
        <v>90 Days</v>
      </c>
      <c r="M163" s="93">
        <v>28831</v>
      </c>
      <c r="N163" s="94">
        <v>46029</v>
      </c>
      <c r="O163" s="94">
        <v>46119</v>
      </c>
      <c r="P163" s="93">
        <v>28831</v>
      </c>
      <c r="Q163" s="92">
        <v>0</v>
      </c>
    </row>
    <row r="164" spans="2:17" x14ac:dyDescent="0.25">
      <c r="B164" s="92" t="str">
        <v>PAV-Cancer Center</v>
      </c>
      <c r="C164" s="90">
        <v>0</v>
      </c>
      <c r="D164" s="91">
        <v>0</v>
      </c>
      <c r="E164" s="92" t="str">
        <v>FINAL</v>
      </c>
      <c r="F164" s="92" t="str">
        <v>AC1-2</v>
      </c>
      <c r="G164" s="92" t="str">
        <v>F8, 4V-Bank Filter</v>
      </c>
      <c r="H164" s="91">
        <v>0</v>
      </c>
      <c r="I164" s="91">
        <v>0</v>
      </c>
      <c r="J164" s="93" t="str">
        <v>24x24x12</v>
      </c>
      <c r="K164" s="93">
        <v>9</v>
      </c>
      <c r="L164" s="93" t="str">
        <v>18 Months</v>
      </c>
      <c r="M164" s="93">
        <v>28131</v>
      </c>
      <c r="N164" s="94">
        <v>45980</v>
      </c>
      <c r="O164" s="94">
        <v>46527</v>
      </c>
      <c r="P164" s="93">
        <v>28131</v>
      </c>
      <c r="Q164" s="92">
        <v>0</v>
      </c>
    </row>
    <row r="165" spans="2:17" x14ac:dyDescent="0.25">
      <c r="B165" s="92" t="str">
        <v>PAV-Cancer Center</v>
      </c>
      <c r="C165" s="90">
        <v>0</v>
      </c>
      <c r="D165" s="91">
        <v>0</v>
      </c>
      <c r="E165" s="92" t="str">
        <v>FINAL</v>
      </c>
      <c r="F165" s="92" t="str">
        <v>AC1-2</v>
      </c>
      <c r="G165" s="92" t="str">
        <v>F8, 4V-Bank Filter</v>
      </c>
      <c r="H165" s="91">
        <v>0</v>
      </c>
      <c r="I165" s="91">
        <v>0</v>
      </c>
      <c r="J165" s="93" t="str">
        <v>12x24x12</v>
      </c>
      <c r="K165" s="93">
        <v>3</v>
      </c>
      <c r="L165" s="93" t="str">
        <v>18 Months</v>
      </c>
      <c r="M165" s="93">
        <v>28131</v>
      </c>
      <c r="N165" s="94">
        <v>45980</v>
      </c>
      <c r="O165" s="94">
        <v>46527</v>
      </c>
      <c r="P165" s="93">
        <v>28131</v>
      </c>
      <c r="Q165" s="92">
        <v>0</v>
      </c>
    </row>
    <row r="166" spans="2:17" x14ac:dyDescent="0.25">
      <c r="B166" s="92">
        <v>0</v>
      </c>
      <c r="C166" s="90">
        <v>0</v>
      </c>
      <c r="D166" s="91">
        <v>0</v>
      </c>
      <c r="E166" s="92" t="str">
        <v/>
      </c>
      <c r="F166" s="92">
        <v>0</v>
      </c>
      <c r="G166" s="92">
        <v>0</v>
      </c>
      <c r="H166" s="91">
        <v>0</v>
      </c>
      <c r="I166" s="91">
        <v>0</v>
      </c>
      <c r="J166" s="93">
        <v>0</v>
      </c>
      <c r="K166" s="93">
        <v>0</v>
      </c>
      <c r="L166" s="93">
        <v>0</v>
      </c>
      <c r="M166" s="93">
        <v>0</v>
      </c>
      <c r="N166" s="94">
        <v>0</v>
      </c>
      <c r="O166" s="94" t="str">
        <v/>
      </c>
      <c r="P166" s="93">
        <v>0</v>
      </c>
      <c r="Q166" s="92">
        <v>0</v>
      </c>
    </row>
    <row r="167" spans="2:17" x14ac:dyDescent="0.25">
      <c r="B167" s="92">
        <v>0</v>
      </c>
      <c r="C167" s="90">
        <v>0</v>
      </c>
      <c r="D167" s="91">
        <v>0</v>
      </c>
      <c r="E167" s="92" t="str">
        <v/>
      </c>
      <c r="F167" s="92">
        <v>0</v>
      </c>
      <c r="G167" s="92">
        <v>0</v>
      </c>
      <c r="H167" s="91">
        <v>0</v>
      </c>
      <c r="I167" s="91">
        <v>0</v>
      </c>
      <c r="J167" s="93" t="str">
        <v xml:space="preserve">Contract # 9061 PO #762152 ; BLDG 1135 </v>
      </c>
      <c r="K167" s="93">
        <v>0</v>
      </c>
      <c r="L167" s="93">
        <v>0</v>
      </c>
      <c r="M167" s="93">
        <v>0</v>
      </c>
      <c r="N167" s="94">
        <v>0</v>
      </c>
      <c r="O167" s="94" t="str">
        <v/>
      </c>
      <c r="P167" s="93">
        <v>0</v>
      </c>
      <c r="Q167" s="92">
        <v>0</v>
      </c>
    </row>
    <row r="168" spans="2:17" x14ac:dyDescent="0.25">
      <c r="B168" s="92" t="str">
        <v>BLDG 1135</v>
      </c>
      <c r="C168" s="90" t="str">
        <v>2nd Floor</v>
      </c>
      <c r="D168" s="91">
        <v>0</v>
      </c>
      <c r="E168" s="92" t="str">
        <v>PRE</v>
      </c>
      <c r="F168" s="92" t="str">
        <v>#28</v>
      </c>
      <c r="G168" s="92" t="str">
        <v>ZLP Pleat</v>
      </c>
      <c r="H168" s="91">
        <v>0</v>
      </c>
      <c r="I168" s="91">
        <v>0</v>
      </c>
      <c r="J168" s="93" t="str">
        <v>16x25x2</v>
      </c>
      <c r="K168" s="93">
        <v>1</v>
      </c>
      <c r="L168" s="93" t="str">
        <v>180 Days</v>
      </c>
      <c r="M168" s="93">
        <v>28177</v>
      </c>
      <c r="N168" s="94">
        <v>46035</v>
      </c>
      <c r="O168" s="94">
        <v>46215</v>
      </c>
      <c r="P168" s="93">
        <v>28177</v>
      </c>
      <c r="Q168" s="92">
        <v>0</v>
      </c>
    </row>
    <row r="169" spans="2:17" x14ac:dyDescent="0.25">
      <c r="B169" s="92" t="str">
        <v>BLDG 1135</v>
      </c>
      <c r="C169" s="90" t="str">
        <v>2nd Floor</v>
      </c>
      <c r="D169" s="91">
        <v>0</v>
      </c>
      <c r="E169" s="92" t="str">
        <v>FINAL</v>
      </c>
      <c r="F169" s="92" t="str">
        <v>#28</v>
      </c>
      <c r="G169" s="92" t="str">
        <v>ZPS Box Filter DH</v>
      </c>
      <c r="H169" s="91">
        <v>0</v>
      </c>
      <c r="I169" s="91">
        <v>0</v>
      </c>
      <c r="J169" s="93" t="str">
        <v>16x25x12</v>
      </c>
      <c r="K169" s="93">
        <v>1</v>
      </c>
      <c r="L169" s="93" t="str">
        <v>365 Days</v>
      </c>
      <c r="M169" s="93">
        <v>11308</v>
      </c>
      <c r="N169" s="94">
        <v>45887</v>
      </c>
      <c r="O169" s="94">
        <v>46252</v>
      </c>
      <c r="P169" s="93">
        <v>0</v>
      </c>
      <c r="Q169" s="92">
        <v>0</v>
      </c>
    </row>
    <row r="170" spans="2:17" x14ac:dyDescent="0.25">
      <c r="B170" s="92">
        <v>0</v>
      </c>
      <c r="C170" s="90">
        <v>0</v>
      </c>
      <c r="D170" s="91">
        <v>0</v>
      </c>
      <c r="E170" s="92" t="str">
        <v/>
      </c>
      <c r="F170" s="92">
        <v>0</v>
      </c>
      <c r="G170" s="92">
        <v>0</v>
      </c>
      <c r="H170" s="91">
        <v>0</v>
      </c>
      <c r="I170" s="91">
        <v>0</v>
      </c>
      <c r="J170" s="93">
        <v>0</v>
      </c>
      <c r="K170" s="93">
        <v>0</v>
      </c>
      <c r="L170" s="93" t="str">
        <v/>
      </c>
      <c r="M170" s="93">
        <v>0</v>
      </c>
      <c r="N170" s="94">
        <v>0</v>
      </c>
      <c r="O170" s="94" t="str">
        <v/>
      </c>
      <c r="P170" s="93">
        <v>0</v>
      </c>
      <c r="Q170" s="92">
        <v>0</v>
      </c>
    </row>
    <row r="171" spans="2:17" x14ac:dyDescent="0.25">
      <c r="B171" s="92" t="str">
        <v>BLDG 1135</v>
      </c>
      <c r="C171" s="90" t="str">
        <v>2nd Floor</v>
      </c>
      <c r="D171" s="91">
        <v>0</v>
      </c>
      <c r="E171" s="92" t="str">
        <v>PRE</v>
      </c>
      <c r="F171" s="92" t="str">
        <v>#18</v>
      </c>
      <c r="G171" s="92" t="str">
        <v>ZLP Pleat</v>
      </c>
      <c r="H171" s="91">
        <v>0</v>
      </c>
      <c r="I171" s="91">
        <v>0</v>
      </c>
      <c r="J171" s="93" t="str">
        <v>16x25x2</v>
      </c>
      <c r="K171" s="93">
        <v>1</v>
      </c>
      <c r="L171" s="93" t="str">
        <v>180 Days</v>
      </c>
      <c r="M171" s="93">
        <v>28177</v>
      </c>
      <c r="N171" s="94">
        <v>46035</v>
      </c>
      <c r="O171" s="94">
        <v>46215</v>
      </c>
      <c r="P171" s="93">
        <v>28177</v>
      </c>
      <c r="Q171" s="92">
        <v>0</v>
      </c>
    </row>
    <row r="172" spans="2:17" x14ac:dyDescent="0.25">
      <c r="B172" s="92" t="str">
        <v>BLDG 1135</v>
      </c>
      <c r="C172" s="90" t="str">
        <v>2nd Floor</v>
      </c>
      <c r="D172" s="91">
        <v>0</v>
      </c>
      <c r="E172" s="92" t="str">
        <v>FINAL</v>
      </c>
      <c r="F172" s="92" t="str">
        <v>#18</v>
      </c>
      <c r="G172" s="92" t="str">
        <v>ZPS Box Filter DH</v>
      </c>
      <c r="H172" s="91">
        <v>0</v>
      </c>
      <c r="I172" s="91">
        <v>0</v>
      </c>
      <c r="J172" s="93" t="str">
        <v>16x25x12</v>
      </c>
      <c r="K172" s="93">
        <v>1</v>
      </c>
      <c r="L172" s="93" t="str">
        <v>365 Days</v>
      </c>
      <c r="M172" s="93">
        <v>11308</v>
      </c>
      <c r="N172" s="94">
        <v>45887</v>
      </c>
      <c r="O172" s="94">
        <v>46252</v>
      </c>
      <c r="P172" s="93">
        <v>0</v>
      </c>
      <c r="Q172" s="92">
        <v>0</v>
      </c>
    </row>
    <row r="173" spans="2:17" x14ac:dyDescent="0.25">
      <c r="B173" s="92">
        <v>0</v>
      </c>
      <c r="C173" s="90">
        <v>0</v>
      </c>
      <c r="D173" s="91">
        <v>0</v>
      </c>
      <c r="E173" s="92" t="str">
        <v/>
      </c>
      <c r="F173" s="92">
        <v>0</v>
      </c>
      <c r="G173" s="92">
        <v>0</v>
      </c>
      <c r="H173" s="91">
        <v>0</v>
      </c>
      <c r="I173" s="91">
        <v>0</v>
      </c>
      <c r="J173" s="93">
        <v>0</v>
      </c>
      <c r="K173" s="93">
        <v>0</v>
      </c>
      <c r="L173" s="93" t="str">
        <v/>
      </c>
      <c r="M173" s="93">
        <v>0</v>
      </c>
      <c r="N173" s="94">
        <v>0</v>
      </c>
      <c r="O173" s="94" t="str">
        <v/>
      </c>
      <c r="P173" s="93">
        <v>0</v>
      </c>
      <c r="Q173" s="92">
        <v>0</v>
      </c>
    </row>
    <row r="174" spans="2:17" x14ac:dyDescent="0.25">
      <c r="B174" s="92" t="str">
        <v>BLDG 1135</v>
      </c>
      <c r="C174" s="90" t="str">
        <v>2nd Floor</v>
      </c>
      <c r="D174" s="91">
        <v>0</v>
      </c>
      <c r="E174" s="92" t="str">
        <v>PRE</v>
      </c>
      <c r="F174" s="92" t="str">
        <v>#8</v>
      </c>
      <c r="G174" s="92" t="str">
        <v>ZLP Pleat</v>
      </c>
      <c r="H174" s="91">
        <v>0</v>
      </c>
      <c r="I174" s="91">
        <v>0</v>
      </c>
      <c r="J174" s="93" t="str">
        <v>16x25x2</v>
      </c>
      <c r="K174" s="93">
        <v>1</v>
      </c>
      <c r="L174" s="93" t="str">
        <v>180 Days</v>
      </c>
      <c r="M174" s="93">
        <v>28177</v>
      </c>
      <c r="N174" s="94">
        <v>46035</v>
      </c>
      <c r="O174" s="94">
        <v>46215</v>
      </c>
      <c r="P174" s="93">
        <v>28177</v>
      </c>
      <c r="Q174" s="92">
        <v>0</v>
      </c>
    </row>
    <row r="175" spans="2:17" x14ac:dyDescent="0.25">
      <c r="B175" s="92" t="str">
        <v>BLDG 1135</v>
      </c>
      <c r="C175" s="90" t="str">
        <v>2nd Floor</v>
      </c>
      <c r="D175" s="91">
        <v>0</v>
      </c>
      <c r="E175" s="92" t="str">
        <v>FINAL</v>
      </c>
      <c r="F175" s="92" t="str">
        <v>#8</v>
      </c>
      <c r="G175" s="92" t="str">
        <v>ZPS Box Filter DH</v>
      </c>
      <c r="H175" s="91">
        <v>0</v>
      </c>
      <c r="I175" s="91">
        <v>0</v>
      </c>
      <c r="J175" s="93" t="str">
        <v>16x25x12</v>
      </c>
      <c r="K175" s="93">
        <v>1</v>
      </c>
      <c r="L175" s="93" t="str">
        <v>365 Days</v>
      </c>
      <c r="M175" s="93">
        <v>11308</v>
      </c>
      <c r="N175" s="94">
        <v>45887</v>
      </c>
      <c r="O175" s="94">
        <v>46252</v>
      </c>
      <c r="P175" s="93">
        <v>0</v>
      </c>
      <c r="Q175" s="92">
        <v>0</v>
      </c>
    </row>
    <row r="176" spans="2:17" x14ac:dyDescent="0.25">
      <c r="B176" s="92">
        <v>0</v>
      </c>
      <c r="C176" s="90">
        <v>0</v>
      </c>
      <c r="D176" s="91">
        <v>0</v>
      </c>
      <c r="E176" s="92" t="str">
        <v/>
      </c>
      <c r="F176" s="92">
        <v>0</v>
      </c>
      <c r="G176" s="92">
        <v>0</v>
      </c>
      <c r="H176" s="91">
        <v>0</v>
      </c>
      <c r="I176" s="91">
        <v>0</v>
      </c>
      <c r="J176" s="93">
        <v>0</v>
      </c>
      <c r="K176" s="93">
        <v>0</v>
      </c>
      <c r="L176" s="93" t="str">
        <v/>
      </c>
      <c r="M176" s="93">
        <v>0</v>
      </c>
      <c r="N176" s="94">
        <v>0</v>
      </c>
      <c r="O176" s="94" t="str">
        <v/>
      </c>
      <c r="P176" s="93">
        <v>0</v>
      </c>
      <c r="Q176" s="92">
        <v>0</v>
      </c>
    </row>
    <row r="177" spans="2:17" x14ac:dyDescent="0.25">
      <c r="B177" s="92" t="str">
        <v>BLDG 1135</v>
      </c>
      <c r="C177" s="90" t="str">
        <v>2nd Floor</v>
      </c>
      <c r="D177" s="91">
        <v>0</v>
      </c>
      <c r="E177" s="92" t="str">
        <v>PRE</v>
      </c>
      <c r="F177" s="92" t="str">
        <v>#1</v>
      </c>
      <c r="G177" s="92" t="str">
        <v>ZLP Pleat</v>
      </c>
      <c r="H177" s="91">
        <v>0</v>
      </c>
      <c r="I177" s="91">
        <v>0</v>
      </c>
      <c r="J177" s="93" t="str">
        <v>16x25x2</v>
      </c>
      <c r="K177" s="93">
        <v>1</v>
      </c>
      <c r="L177" s="93" t="str">
        <v>180 Days</v>
      </c>
      <c r="M177" s="93">
        <v>28177</v>
      </c>
      <c r="N177" s="94">
        <v>46035</v>
      </c>
      <c r="O177" s="94">
        <v>46215</v>
      </c>
      <c r="P177" s="93">
        <v>28177</v>
      </c>
      <c r="Q177" s="92">
        <v>0</v>
      </c>
    </row>
    <row r="178" spans="2:17" x14ac:dyDescent="0.25">
      <c r="B178" s="92" t="str">
        <v>BLDG 1135</v>
      </c>
      <c r="C178" s="90" t="str">
        <v>2nd Floor</v>
      </c>
      <c r="D178" s="91">
        <v>0</v>
      </c>
      <c r="E178" s="92" t="str">
        <v>FINAL</v>
      </c>
      <c r="F178" s="92" t="str">
        <v>#1</v>
      </c>
      <c r="G178" s="92" t="str">
        <v>ZPS Box Filter DH</v>
      </c>
      <c r="H178" s="91">
        <v>0</v>
      </c>
      <c r="I178" s="91">
        <v>0</v>
      </c>
      <c r="J178" s="93" t="str">
        <v>16x25x12</v>
      </c>
      <c r="K178" s="93">
        <v>1</v>
      </c>
      <c r="L178" s="93" t="str">
        <v>365 Days</v>
      </c>
      <c r="M178" s="93">
        <v>11308</v>
      </c>
      <c r="N178" s="94">
        <v>45887</v>
      </c>
      <c r="O178" s="94">
        <v>46252</v>
      </c>
      <c r="P178" s="93">
        <v>0</v>
      </c>
      <c r="Q178" s="92">
        <v>0</v>
      </c>
    </row>
    <row r="179" spans="2:17" x14ac:dyDescent="0.25">
      <c r="B179" s="92">
        <v>0</v>
      </c>
      <c r="C179" s="90">
        <v>0</v>
      </c>
      <c r="D179" s="91">
        <v>0</v>
      </c>
      <c r="E179" s="92" t="str">
        <v/>
      </c>
      <c r="F179" s="92">
        <v>0</v>
      </c>
      <c r="G179" s="92">
        <v>0</v>
      </c>
      <c r="H179" s="91">
        <v>0</v>
      </c>
      <c r="I179" s="91">
        <v>0</v>
      </c>
      <c r="J179" s="93">
        <v>0</v>
      </c>
      <c r="K179" s="93">
        <v>0</v>
      </c>
      <c r="L179" s="93" t="str">
        <v/>
      </c>
      <c r="M179" s="93">
        <v>0</v>
      </c>
      <c r="N179" s="94">
        <v>0</v>
      </c>
      <c r="O179" s="94" t="str">
        <v/>
      </c>
      <c r="P179" s="93">
        <v>0</v>
      </c>
      <c r="Q179" s="92">
        <v>0</v>
      </c>
    </row>
    <row r="180" spans="2:17" x14ac:dyDescent="0.25">
      <c r="B180" s="92" t="str">
        <v>BLDG 1135</v>
      </c>
      <c r="C180" s="90" t="str">
        <v>2nd Floor</v>
      </c>
      <c r="D180" s="91">
        <v>0</v>
      </c>
      <c r="E180" s="92" t="str">
        <v>PRE</v>
      </c>
      <c r="F180" s="92" t="str">
        <v>#2</v>
      </c>
      <c r="G180" s="92" t="str">
        <v>ZLP Pleat</v>
      </c>
      <c r="H180" s="91">
        <v>0</v>
      </c>
      <c r="I180" s="91">
        <v>0</v>
      </c>
      <c r="J180" s="93" t="str">
        <v>16x25x2</v>
      </c>
      <c r="K180" s="93">
        <v>1</v>
      </c>
      <c r="L180" s="93" t="str">
        <v>180 Days</v>
      </c>
      <c r="M180" s="93">
        <v>28177</v>
      </c>
      <c r="N180" s="94">
        <v>46035</v>
      </c>
      <c r="O180" s="94">
        <v>46215</v>
      </c>
      <c r="P180" s="93">
        <v>28177</v>
      </c>
      <c r="Q180" s="92">
        <v>0</v>
      </c>
    </row>
    <row r="181" spans="2:17" x14ac:dyDescent="0.25">
      <c r="B181" s="92" t="str">
        <v>BLDG 1135</v>
      </c>
      <c r="C181" s="90" t="str">
        <v>2nd Floor</v>
      </c>
      <c r="D181" s="91">
        <v>0</v>
      </c>
      <c r="E181" s="92" t="str">
        <v>FINAL</v>
      </c>
      <c r="F181" s="92" t="str">
        <v>#2</v>
      </c>
      <c r="G181" s="92" t="str">
        <v>ZPS Box Filter DH</v>
      </c>
      <c r="H181" s="91">
        <v>0</v>
      </c>
      <c r="I181" s="91">
        <v>0</v>
      </c>
      <c r="J181" s="93" t="str">
        <v>16x25x12</v>
      </c>
      <c r="K181" s="93">
        <v>1</v>
      </c>
      <c r="L181" s="93" t="str">
        <v>365 Days</v>
      </c>
      <c r="M181" s="93">
        <v>11308</v>
      </c>
      <c r="N181" s="94">
        <v>45887</v>
      </c>
      <c r="O181" s="94">
        <v>46252</v>
      </c>
      <c r="P181" s="93">
        <v>0</v>
      </c>
      <c r="Q181" s="92">
        <v>0</v>
      </c>
    </row>
    <row r="182" spans="2:17" x14ac:dyDescent="0.25">
      <c r="B182" s="92">
        <v>0</v>
      </c>
      <c r="C182" s="90">
        <v>0</v>
      </c>
      <c r="D182" s="91">
        <v>0</v>
      </c>
      <c r="E182" s="92" t="str">
        <v/>
      </c>
      <c r="F182" s="92">
        <v>0</v>
      </c>
      <c r="G182" s="92">
        <v>0</v>
      </c>
      <c r="H182" s="91">
        <v>0</v>
      </c>
      <c r="I182" s="91">
        <v>0</v>
      </c>
      <c r="J182" s="93">
        <v>0</v>
      </c>
      <c r="K182" s="93">
        <v>0</v>
      </c>
      <c r="L182" s="93" t="str">
        <v/>
      </c>
      <c r="M182" s="93">
        <v>0</v>
      </c>
      <c r="N182" s="94">
        <v>0</v>
      </c>
      <c r="O182" s="94" t="str">
        <v/>
      </c>
      <c r="P182" s="93">
        <v>0</v>
      </c>
      <c r="Q182" s="92">
        <v>0</v>
      </c>
    </row>
    <row r="183" spans="2:17" x14ac:dyDescent="0.25">
      <c r="B183" s="92" t="str">
        <v>BLDG 1135</v>
      </c>
      <c r="C183" s="90" t="str">
        <v>(2nd Floor)Exam RM</v>
      </c>
      <c r="D183" s="91">
        <v>0</v>
      </c>
      <c r="E183" s="92" t="str">
        <v>PRE</v>
      </c>
      <c r="F183" s="92" t="str">
        <v xml:space="preserve"> #7</v>
      </c>
      <c r="G183" s="92" t="str">
        <v>ZLP Pleat</v>
      </c>
      <c r="H183" s="91">
        <v>0</v>
      </c>
      <c r="I183" s="91">
        <v>0</v>
      </c>
      <c r="J183" s="93" t="str">
        <v>16x25x2</v>
      </c>
      <c r="K183" s="93">
        <v>1</v>
      </c>
      <c r="L183" s="93" t="str">
        <v>180 Days</v>
      </c>
      <c r="M183" s="93">
        <v>28177</v>
      </c>
      <c r="N183" s="94">
        <v>46035</v>
      </c>
      <c r="O183" s="94">
        <v>46215</v>
      </c>
      <c r="P183" s="93">
        <v>28177</v>
      </c>
      <c r="Q183" s="92">
        <v>0</v>
      </c>
    </row>
    <row r="184" spans="2:17" x14ac:dyDescent="0.25">
      <c r="B184" s="92" t="str">
        <v>BLDG 1135</v>
      </c>
      <c r="C184" s="90" t="str">
        <v>(2nd Floor)Exam RM</v>
      </c>
      <c r="D184" s="91">
        <v>0</v>
      </c>
      <c r="E184" s="92" t="str">
        <v>FINAL</v>
      </c>
      <c r="F184" s="92" t="str">
        <v xml:space="preserve"> #7</v>
      </c>
      <c r="G184" s="92" t="str">
        <v>ZPS Box Filter DH</v>
      </c>
      <c r="H184" s="91">
        <v>0</v>
      </c>
      <c r="I184" s="91">
        <v>0</v>
      </c>
      <c r="J184" s="93" t="str">
        <v>16x25x12</v>
      </c>
      <c r="K184" s="93">
        <v>1</v>
      </c>
      <c r="L184" s="93" t="str">
        <v>365 Days</v>
      </c>
      <c r="M184" s="93">
        <v>11308</v>
      </c>
      <c r="N184" s="94">
        <v>45887</v>
      </c>
      <c r="O184" s="94">
        <v>46252</v>
      </c>
      <c r="P184" s="93">
        <v>0</v>
      </c>
      <c r="Q184" s="92">
        <v>0</v>
      </c>
    </row>
    <row r="185" spans="2:17" x14ac:dyDescent="0.25">
      <c r="B185" s="92">
        <v>0</v>
      </c>
      <c r="C185" s="90">
        <v>0</v>
      </c>
      <c r="D185" s="91">
        <v>0</v>
      </c>
      <c r="E185" s="92" t="str">
        <v/>
      </c>
      <c r="F185" s="92">
        <v>0</v>
      </c>
      <c r="G185" s="92">
        <v>0</v>
      </c>
      <c r="H185" s="91">
        <v>0</v>
      </c>
      <c r="I185" s="91">
        <v>0</v>
      </c>
      <c r="J185" s="93">
        <v>0</v>
      </c>
      <c r="K185" s="93">
        <v>0</v>
      </c>
      <c r="L185" s="93" t="str">
        <v/>
      </c>
      <c r="M185" s="93">
        <v>0</v>
      </c>
      <c r="N185" s="94">
        <v>0</v>
      </c>
      <c r="O185" s="94" t="str">
        <v/>
      </c>
      <c r="P185" s="93">
        <v>0</v>
      </c>
      <c r="Q185" s="92">
        <v>0</v>
      </c>
    </row>
    <row r="186" spans="2:17" x14ac:dyDescent="0.25">
      <c r="B186" s="92" t="str">
        <v>BLDG 1135</v>
      </c>
      <c r="C186" s="90" t="str">
        <v>(2nd Floor)Exam RM</v>
      </c>
      <c r="D186" s="91">
        <v>0</v>
      </c>
      <c r="E186" s="92" t="str">
        <v>PRE</v>
      </c>
      <c r="F186" s="92" t="str">
        <v>#54</v>
      </c>
      <c r="G186" s="92" t="str">
        <v>ZLP Pleat</v>
      </c>
      <c r="H186" s="91">
        <v>0</v>
      </c>
      <c r="I186" s="91">
        <v>0</v>
      </c>
      <c r="J186" s="93" t="str">
        <v>20x20x2</v>
      </c>
      <c r="K186" s="93">
        <v>2</v>
      </c>
      <c r="L186" s="93" t="str">
        <v>180 Days</v>
      </c>
      <c r="M186" s="93">
        <v>28177</v>
      </c>
      <c r="N186" s="94">
        <v>46035</v>
      </c>
      <c r="O186" s="94">
        <v>46215</v>
      </c>
      <c r="P186" s="93">
        <v>28177</v>
      </c>
      <c r="Q186" s="92">
        <v>0</v>
      </c>
    </row>
    <row r="187" spans="2:17" x14ac:dyDescent="0.25">
      <c r="B187" s="92" t="str">
        <v>BLDG 1135</v>
      </c>
      <c r="C187" s="90" t="str">
        <v>(2nd Floor)Exam RM</v>
      </c>
      <c r="D187" s="91">
        <v>0</v>
      </c>
      <c r="E187" s="92" t="str">
        <v>PRE</v>
      </c>
      <c r="F187" s="92" t="str">
        <v>#54</v>
      </c>
      <c r="G187" s="92" t="str">
        <v>ZLP Pleat</v>
      </c>
      <c r="H187" s="91">
        <v>0</v>
      </c>
      <c r="I187" s="91">
        <v>0</v>
      </c>
      <c r="J187" s="93" t="str">
        <v>16x20x2</v>
      </c>
      <c r="K187" s="93">
        <v>1</v>
      </c>
      <c r="L187" s="93" t="str">
        <v>180 Days</v>
      </c>
      <c r="M187" s="93">
        <v>28177</v>
      </c>
      <c r="N187" s="94">
        <v>46035</v>
      </c>
      <c r="O187" s="94">
        <v>46215</v>
      </c>
      <c r="P187" s="93">
        <v>28177</v>
      </c>
      <c r="Q187" s="92">
        <v>0</v>
      </c>
    </row>
    <row r="188" spans="2:17" x14ac:dyDescent="0.25">
      <c r="B188" s="92" t="str">
        <v>BLDG 1135</v>
      </c>
      <c r="C188" s="90" t="str">
        <v>(2nd Floor)Exam RM</v>
      </c>
      <c r="D188" s="91">
        <v>0</v>
      </c>
      <c r="E188" s="92" t="str">
        <v>FINAL</v>
      </c>
      <c r="F188" s="92" t="str">
        <v>#54</v>
      </c>
      <c r="G188" s="92" t="str">
        <v>ZPS Box Filter DH</v>
      </c>
      <c r="H188" s="91">
        <v>0</v>
      </c>
      <c r="I188" s="91">
        <v>0</v>
      </c>
      <c r="J188" s="93" t="str">
        <v>20x20x12</v>
      </c>
      <c r="K188" s="93">
        <v>2</v>
      </c>
      <c r="L188" s="93" t="str">
        <v>365 Days</v>
      </c>
      <c r="M188" s="93">
        <v>11308</v>
      </c>
      <c r="N188" s="94">
        <v>45887</v>
      </c>
      <c r="O188" s="94">
        <v>46252</v>
      </c>
      <c r="P188" s="93">
        <v>0</v>
      </c>
      <c r="Q188" s="92">
        <v>0</v>
      </c>
    </row>
    <row r="189" spans="2:17" x14ac:dyDescent="0.25">
      <c r="B189" s="92" t="str">
        <v>BLDG 1135</v>
      </c>
      <c r="C189" s="90" t="str">
        <v>(2nd Floor)Exam RM</v>
      </c>
      <c r="D189" s="91">
        <v>0</v>
      </c>
      <c r="E189" s="92" t="str">
        <v>FINAL</v>
      </c>
      <c r="F189" s="92" t="str">
        <v>#54</v>
      </c>
      <c r="G189" s="92" t="str">
        <v>ZPS Box Filter DH</v>
      </c>
      <c r="H189" s="91">
        <v>0</v>
      </c>
      <c r="I189" s="91">
        <v>0</v>
      </c>
      <c r="J189" s="93" t="str">
        <v>16x20x12</v>
      </c>
      <c r="K189" s="93">
        <v>1</v>
      </c>
      <c r="L189" s="93" t="str">
        <v>365 Days</v>
      </c>
      <c r="M189" s="93">
        <v>11308</v>
      </c>
      <c r="N189" s="94">
        <v>45887</v>
      </c>
      <c r="O189" s="94">
        <v>46252</v>
      </c>
      <c r="P189" s="93">
        <v>0</v>
      </c>
      <c r="Q189" s="92">
        <v>0</v>
      </c>
    </row>
    <row r="190" spans="2:17" x14ac:dyDescent="0.25">
      <c r="B190" s="92">
        <v>0</v>
      </c>
      <c r="C190" s="90">
        <v>0</v>
      </c>
      <c r="D190" s="91">
        <v>0</v>
      </c>
      <c r="E190" s="92" t="str">
        <v/>
      </c>
      <c r="F190" s="92">
        <v>0</v>
      </c>
      <c r="G190" s="92">
        <v>0</v>
      </c>
      <c r="H190" s="91">
        <v>0</v>
      </c>
      <c r="I190" s="91">
        <v>0</v>
      </c>
      <c r="J190" s="93">
        <v>0</v>
      </c>
      <c r="K190" s="93">
        <v>0</v>
      </c>
      <c r="L190" s="93" t="str">
        <v/>
      </c>
      <c r="M190" s="93">
        <v>0</v>
      </c>
      <c r="N190" s="94">
        <v>0</v>
      </c>
      <c r="O190" s="94" t="str">
        <v/>
      </c>
      <c r="P190" s="93">
        <v>0</v>
      </c>
      <c r="Q190" s="92">
        <v>0</v>
      </c>
    </row>
    <row r="191" spans="2:17" x14ac:dyDescent="0.25">
      <c r="B191" s="92" t="str">
        <v>BLDG 1135</v>
      </c>
      <c r="C191" s="90" t="str">
        <v>(2nd Floor)Exam RM</v>
      </c>
      <c r="D191" s="91">
        <v>0</v>
      </c>
      <c r="E191" s="92" t="str">
        <v>PRE</v>
      </c>
      <c r="F191" s="92" t="str">
        <v>#4</v>
      </c>
      <c r="G191" s="92" t="str">
        <v>ZLP Pleat</v>
      </c>
      <c r="H191" s="91">
        <v>0</v>
      </c>
      <c r="I191" s="91">
        <v>0</v>
      </c>
      <c r="J191" s="93" t="str">
        <v>16x20x2</v>
      </c>
      <c r="K191" s="93">
        <v>2</v>
      </c>
      <c r="L191" s="93" t="str">
        <v>180 Days</v>
      </c>
      <c r="M191" s="93">
        <v>28177</v>
      </c>
      <c r="N191" s="94">
        <v>46035</v>
      </c>
      <c r="O191" s="94">
        <v>46215</v>
      </c>
      <c r="P191" s="93">
        <v>28177</v>
      </c>
      <c r="Q191" s="92">
        <v>0</v>
      </c>
    </row>
    <row r="192" spans="2:17" x14ac:dyDescent="0.25">
      <c r="B192" s="92" t="str">
        <v>BLDG 1135</v>
      </c>
      <c r="C192" s="90" t="str">
        <v>(2nd Floor)Exam RM</v>
      </c>
      <c r="D192" s="91">
        <v>0</v>
      </c>
      <c r="E192" s="92" t="str">
        <v>FINAL</v>
      </c>
      <c r="F192" s="92" t="str">
        <v>#4</v>
      </c>
      <c r="G192" s="92" t="str">
        <v>ZPS Box Filter DH</v>
      </c>
      <c r="H192" s="91">
        <v>0</v>
      </c>
      <c r="I192" s="91">
        <v>0</v>
      </c>
      <c r="J192" s="93" t="str">
        <v>16x20x12</v>
      </c>
      <c r="K192" s="93">
        <v>2</v>
      </c>
      <c r="L192" s="93" t="str">
        <v>365 Days</v>
      </c>
      <c r="M192" s="93">
        <v>11308</v>
      </c>
      <c r="N192" s="94">
        <v>45887</v>
      </c>
      <c r="O192" s="94">
        <v>46252</v>
      </c>
      <c r="P192" s="93">
        <v>0</v>
      </c>
      <c r="Q192" s="92">
        <v>0</v>
      </c>
    </row>
    <row r="193" spans="2:17" x14ac:dyDescent="0.25">
      <c r="B193" s="92">
        <v>0</v>
      </c>
      <c r="C193" s="90">
        <v>0</v>
      </c>
      <c r="D193" s="91">
        <v>0</v>
      </c>
      <c r="E193" s="92" t="str">
        <v/>
      </c>
      <c r="F193" s="92">
        <v>0</v>
      </c>
      <c r="G193" s="92">
        <v>0</v>
      </c>
      <c r="H193" s="91">
        <v>0</v>
      </c>
      <c r="I193" s="91">
        <v>0</v>
      </c>
      <c r="J193" s="93">
        <v>0</v>
      </c>
      <c r="K193" s="93">
        <v>0</v>
      </c>
      <c r="L193" s="93" t="str">
        <v/>
      </c>
      <c r="M193" s="93">
        <v>0</v>
      </c>
      <c r="N193" s="94">
        <v>0</v>
      </c>
      <c r="O193" s="94" t="str">
        <v/>
      </c>
      <c r="P193" s="93">
        <v>0</v>
      </c>
      <c r="Q193" s="92">
        <v>0</v>
      </c>
    </row>
    <row r="194" spans="2:17" x14ac:dyDescent="0.25">
      <c r="B194" s="92" t="str">
        <v>BLDG 1135</v>
      </c>
      <c r="C194" s="90" t="str">
        <v>(2nd Floor)Exam RM</v>
      </c>
      <c r="D194" s="91">
        <v>0</v>
      </c>
      <c r="E194" s="92" t="str">
        <v>PRE</v>
      </c>
      <c r="F194" s="92" t="str">
        <v>#9</v>
      </c>
      <c r="G194" s="92" t="str">
        <v>ZLP Pleat</v>
      </c>
      <c r="H194" s="91">
        <v>0</v>
      </c>
      <c r="I194" s="91">
        <v>0</v>
      </c>
      <c r="J194" s="93" t="str">
        <v>20x20x2</v>
      </c>
      <c r="K194" s="93">
        <v>2</v>
      </c>
      <c r="L194" s="93" t="str">
        <v>180 Days</v>
      </c>
      <c r="M194" s="93">
        <v>28177</v>
      </c>
      <c r="N194" s="94">
        <v>46035</v>
      </c>
      <c r="O194" s="94">
        <v>46215</v>
      </c>
      <c r="P194" s="93">
        <v>28177</v>
      </c>
      <c r="Q194" s="92">
        <v>0</v>
      </c>
    </row>
    <row r="195" spans="2:17" x14ac:dyDescent="0.25">
      <c r="B195" s="92" t="str">
        <v>BLDG 1135</v>
      </c>
      <c r="C195" s="90" t="str">
        <v>(2nd Floor)Exam RM</v>
      </c>
      <c r="D195" s="91">
        <v>0</v>
      </c>
      <c r="E195" s="92" t="str">
        <v>PRE</v>
      </c>
      <c r="F195" s="92" t="str">
        <v>#9</v>
      </c>
      <c r="G195" s="92" t="str">
        <v>ZLP Pleat</v>
      </c>
      <c r="H195" s="91">
        <v>0</v>
      </c>
      <c r="I195" s="91">
        <v>0</v>
      </c>
      <c r="J195" s="93" t="str">
        <v>16x20x2</v>
      </c>
      <c r="K195" s="93">
        <v>1</v>
      </c>
      <c r="L195" s="93" t="str">
        <v>180 Days</v>
      </c>
      <c r="M195" s="93">
        <v>28177</v>
      </c>
      <c r="N195" s="94">
        <v>46035</v>
      </c>
      <c r="O195" s="94">
        <v>46215</v>
      </c>
      <c r="P195" s="93">
        <v>28177</v>
      </c>
      <c r="Q195" s="92">
        <v>0</v>
      </c>
    </row>
    <row r="196" spans="2:17" x14ac:dyDescent="0.25">
      <c r="B196" s="92" t="str">
        <v>BLDG 1135</v>
      </c>
      <c r="C196" s="90" t="str">
        <v>(2nd Floor)Exam RM</v>
      </c>
      <c r="D196" s="91">
        <v>0</v>
      </c>
      <c r="E196" s="92" t="str">
        <v>FINAL</v>
      </c>
      <c r="F196" s="92" t="str">
        <v>#9</v>
      </c>
      <c r="G196" s="92" t="str">
        <v>ZPS Box Filter DH</v>
      </c>
      <c r="H196" s="91">
        <v>0</v>
      </c>
      <c r="I196" s="91">
        <v>0</v>
      </c>
      <c r="J196" s="93" t="str">
        <v>20x20x12</v>
      </c>
      <c r="K196" s="93">
        <v>2</v>
      </c>
      <c r="L196" s="93" t="str">
        <v>365 Days</v>
      </c>
      <c r="M196" s="93">
        <v>11308</v>
      </c>
      <c r="N196" s="94">
        <v>45887</v>
      </c>
      <c r="O196" s="94">
        <v>46252</v>
      </c>
      <c r="P196" s="93">
        <v>0</v>
      </c>
      <c r="Q196" s="92">
        <v>0</v>
      </c>
    </row>
    <row r="197" spans="2:17" x14ac:dyDescent="0.25">
      <c r="B197" s="92" t="str">
        <v>BLDG 1135</v>
      </c>
      <c r="C197" s="90" t="str">
        <v>(2nd Floor)Exam RM</v>
      </c>
      <c r="D197" s="91">
        <v>0</v>
      </c>
      <c r="E197" s="92" t="str">
        <v>FINAL</v>
      </c>
      <c r="F197" s="92" t="str">
        <v>#9</v>
      </c>
      <c r="G197" s="92" t="str">
        <v>ZPS Box Filter DH</v>
      </c>
      <c r="H197" s="91">
        <v>0</v>
      </c>
      <c r="I197" s="91">
        <v>0</v>
      </c>
      <c r="J197" s="93" t="str">
        <v>16x20x12</v>
      </c>
      <c r="K197" s="93">
        <v>1</v>
      </c>
      <c r="L197" s="93" t="str">
        <v>365 Days</v>
      </c>
      <c r="M197" s="93">
        <v>11308</v>
      </c>
      <c r="N197" s="94">
        <v>45887</v>
      </c>
      <c r="O197" s="94">
        <v>46252</v>
      </c>
      <c r="P197" s="93">
        <v>0</v>
      </c>
      <c r="Q197" s="92">
        <v>0</v>
      </c>
    </row>
    <row r="198" spans="2:17" x14ac:dyDescent="0.25">
      <c r="B198" s="92">
        <v>0</v>
      </c>
      <c r="C198" s="90">
        <v>0</v>
      </c>
      <c r="D198" s="91">
        <v>0</v>
      </c>
      <c r="E198" s="92" t="str">
        <v/>
      </c>
      <c r="F198" s="92">
        <v>0</v>
      </c>
      <c r="G198" s="92">
        <v>0</v>
      </c>
      <c r="H198" s="91">
        <v>0</v>
      </c>
      <c r="I198" s="91">
        <v>0</v>
      </c>
      <c r="J198" s="93">
        <v>0</v>
      </c>
      <c r="K198" s="93">
        <v>0</v>
      </c>
      <c r="L198" s="93" t="str">
        <v/>
      </c>
      <c r="M198" s="93">
        <v>0</v>
      </c>
      <c r="N198" s="94">
        <v>0</v>
      </c>
      <c r="O198" s="94" t="str">
        <v/>
      </c>
      <c r="P198" s="93">
        <v>0</v>
      </c>
      <c r="Q198" s="92">
        <v>0</v>
      </c>
    </row>
    <row r="199" spans="2:17" x14ac:dyDescent="0.25">
      <c r="B199" s="92" t="str">
        <v>BLDG 1135</v>
      </c>
      <c r="C199" s="90" t="str">
        <v>(2nd Floor)Inside Orthopedics</v>
      </c>
      <c r="D199" s="91">
        <v>0</v>
      </c>
      <c r="E199" s="92" t="str">
        <v>PRE</v>
      </c>
      <c r="F199" s="92" t="str">
        <v>Inside Orthopedics</v>
      </c>
      <c r="G199" s="92" t="str">
        <v>ZLP Pleat</v>
      </c>
      <c r="H199" s="91">
        <v>0</v>
      </c>
      <c r="I199" s="91">
        <v>0</v>
      </c>
      <c r="J199" s="93" t="str">
        <v>20x20x2</v>
      </c>
      <c r="K199" s="93">
        <v>16</v>
      </c>
      <c r="L199" s="93" t="str">
        <v>180 Days</v>
      </c>
      <c r="M199" s="93">
        <v>28177</v>
      </c>
      <c r="N199" s="94">
        <v>46035</v>
      </c>
      <c r="O199" s="94">
        <v>46215</v>
      </c>
      <c r="P199" s="93">
        <v>28177</v>
      </c>
      <c r="Q199" s="92">
        <v>0</v>
      </c>
    </row>
    <row r="200" spans="2:17" x14ac:dyDescent="0.25">
      <c r="B200" s="92">
        <v>0</v>
      </c>
      <c r="C200" s="90">
        <v>0</v>
      </c>
      <c r="D200" s="91">
        <v>0</v>
      </c>
      <c r="E200" s="92" t="str">
        <v/>
      </c>
      <c r="F200" s="92">
        <v>0</v>
      </c>
      <c r="G200" s="92">
        <v>0</v>
      </c>
      <c r="H200" s="91">
        <v>0</v>
      </c>
      <c r="I200" s="91">
        <v>0</v>
      </c>
      <c r="J200" s="93">
        <v>0</v>
      </c>
      <c r="K200" s="93">
        <v>0</v>
      </c>
      <c r="L200" s="93" t="str">
        <v/>
      </c>
      <c r="M200" s="93">
        <v>0</v>
      </c>
      <c r="N200" s="94">
        <v>0</v>
      </c>
      <c r="O200" s="94" t="str">
        <v/>
      </c>
      <c r="P200" s="93">
        <v>0</v>
      </c>
      <c r="Q200" s="92">
        <v>0</v>
      </c>
    </row>
    <row r="201" spans="2:17" x14ac:dyDescent="0.25">
      <c r="B201" s="92" t="str">
        <v>*</v>
      </c>
      <c r="C201" s="90" t="str">
        <v>2nd Floor California Ocoluplastic and Retina</v>
      </c>
      <c r="D201" s="91">
        <v>0</v>
      </c>
      <c r="E201" s="92" t="str">
        <v>PRE</v>
      </c>
      <c r="F201" s="92" t="str">
        <v>Inside Orthopedics</v>
      </c>
      <c r="G201" s="92" t="str">
        <v>High Loft</v>
      </c>
      <c r="H201" s="91">
        <v>0</v>
      </c>
      <c r="I201" s="91">
        <v>0</v>
      </c>
      <c r="J201" s="93" t="str">
        <v>21x21</v>
      </c>
      <c r="K201" s="93">
        <v>13</v>
      </c>
      <c r="L201" s="93" t="str">
        <v>180 Days</v>
      </c>
      <c r="M201" s="93">
        <v>28177</v>
      </c>
      <c r="N201" s="94">
        <v>46035</v>
      </c>
      <c r="O201" s="94">
        <v>46215</v>
      </c>
      <c r="P201" s="93">
        <v>28177</v>
      </c>
      <c r="Q201" s="92">
        <v>0</v>
      </c>
    </row>
    <row r="202" spans="2:17" x14ac:dyDescent="0.25">
      <c r="B202" s="92" t="str">
        <v>*</v>
      </c>
      <c r="C202" s="90" t="str">
        <v>2nd Floor California Ocoluplastic and Retina</v>
      </c>
      <c r="D202" s="91">
        <v>0</v>
      </c>
      <c r="E202" s="92" t="str">
        <v>FINAL</v>
      </c>
      <c r="F202" s="92" t="str">
        <v>Inside Orthopedics</v>
      </c>
      <c r="G202" s="92" t="str">
        <v>ZPS Box Filter Nominal</v>
      </c>
      <c r="H202" s="91">
        <v>0</v>
      </c>
      <c r="I202" s="91">
        <v>0</v>
      </c>
      <c r="J202" s="93" t="str">
        <v>24x24x6</v>
      </c>
      <c r="K202" s="93">
        <v>3</v>
      </c>
      <c r="L202" s="93" t="str">
        <v>365 Days</v>
      </c>
      <c r="M202" s="93">
        <v>11308</v>
      </c>
      <c r="N202" s="94">
        <v>45887</v>
      </c>
      <c r="O202" s="94">
        <v>46252</v>
      </c>
      <c r="P202" s="93">
        <v>0</v>
      </c>
      <c r="Q202" s="92">
        <v>0</v>
      </c>
    </row>
    <row r="203" spans="2:17" x14ac:dyDescent="0.25">
      <c r="B203" s="92">
        <v>0</v>
      </c>
      <c r="C203" s="90">
        <v>0</v>
      </c>
      <c r="D203" s="91">
        <v>0</v>
      </c>
      <c r="E203" s="92" t="str">
        <v/>
      </c>
      <c r="F203" s="92">
        <v>0</v>
      </c>
      <c r="G203" s="92">
        <v>0</v>
      </c>
      <c r="H203" s="91">
        <v>0</v>
      </c>
      <c r="I203" s="91">
        <v>0</v>
      </c>
      <c r="J203" s="93">
        <v>0</v>
      </c>
      <c r="K203" s="93">
        <v>49</v>
      </c>
      <c r="L203" s="93" t="str">
        <v/>
      </c>
      <c r="M203" s="93">
        <v>0</v>
      </c>
      <c r="N203" s="94">
        <v>0</v>
      </c>
      <c r="O203" s="94" t="str">
        <v/>
      </c>
      <c r="P203" s="93">
        <v>0</v>
      </c>
      <c r="Q203" s="92">
        <v>0</v>
      </c>
    </row>
    <row r="204" spans="2:17" x14ac:dyDescent="0.25">
      <c r="B204" s="92" t="str">
        <v>BLDG 1135</v>
      </c>
      <c r="C204" s="90" t="str">
        <v>4th Floor</v>
      </c>
      <c r="D204" s="91">
        <v>0</v>
      </c>
      <c r="E204" s="92" t="str">
        <v>PRE</v>
      </c>
      <c r="F204" s="92" t="str">
        <v>4-01</v>
      </c>
      <c r="G204" s="92" t="str">
        <v>ZLP Pleat</v>
      </c>
      <c r="H204" s="91">
        <v>0</v>
      </c>
      <c r="I204" s="91">
        <v>0</v>
      </c>
      <c r="J204" s="93" t="str">
        <v>16x25x2</v>
      </c>
      <c r="K204" s="93">
        <v>1</v>
      </c>
      <c r="L204" s="93" t="str">
        <v>180 Days</v>
      </c>
      <c r="M204" s="93">
        <v>28177</v>
      </c>
      <c r="N204" s="94">
        <v>46035</v>
      </c>
      <c r="O204" s="94">
        <v>46215</v>
      </c>
      <c r="P204" s="93">
        <v>28177</v>
      </c>
      <c r="Q204" s="92">
        <v>0</v>
      </c>
    </row>
    <row r="205" spans="2:17" x14ac:dyDescent="0.25">
      <c r="B205" s="92" t="str">
        <v>BLDG 1135</v>
      </c>
      <c r="C205" s="90" t="str">
        <v>4th Floor</v>
      </c>
      <c r="D205" s="91">
        <v>0</v>
      </c>
      <c r="E205" s="92" t="str">
        <v>FINAL</v>
      </c>
      <c r="F205" s="92" t="str">
        <v>4-02</v>
      </c>
      <c r="G205" s="92" t="str">
        <v>ZPS Box Filter DH</v>
      </c>
      <c r="H205" s="91">
        <v>0</v>
      </c>
      <c r="I205" s="91">
        <v>0</v>
      </c>
      <c r="J205" s="93" t="str">
        <v>16x25x12</v>
      </c>
      <c r="K205" s="93">
        <v>1</v>
      </c>
      <c r="L205" s="93" t="str">
        <v>365 Days</v>
      </c>
      <c r="M205" s="93">
        <v>11308</v>
      </c>
      <c r="N205" s="94">
        <v>45887</v>
      </c>
      <c r="O205" s="94">
        <v>46252</v>
      </c>
      <c r="P205" s="93">
        <v>0</v>
      </c>
      <c r="Q205" s="92">
        <v>0</v>
      </c>
    </row>
    <row r="206" spans="2:17" x14ac:dyDescent="0.25">
      <c r="B206" s="92">
        <v>0</v>
      </c>
      <c r="C206" s="90">
        <v>0</v>
      </c>
      <c r="D206" s="91">
        <v>0</v>
      </c>
      <c r="E206" s="92" t="str">
        <v/>
      </c>
      <c r="F206" s="92">
        <v>0</v>
      </c>
      <c r="G206" s="92">
        <v>0</v>
      </c>
      <c r="H206" s="91">
        <v>0</v>
      </c>
      <c r="I206" s="91">
        <v>0</v>
      </c>
      <c r="J206" s="93">
        <v>0</v>
      </c>
      <c r="K206" s="93">
        <v>0</v>
      </c>
      <c r="L206" s="93">
        <v>0</v>
      </c>
      <c r="M206" s="93">
        <v>0</v>
      </c>
      <c r="N206" s="94">
        <v>0</v>
      </c>
      <c r="O206" s="94">
        <v>0</v>
      </c>
      <c r="P206" s="93">
        <v>0</v>
      </c>
      <c r="Q206" s="92">
        <v>0</v>
      </c>
    </row>
    <row r="207" spans="2:17" x14ac:dyDescent="0.25">
      <c r="B207" s="92" t="str">
        <v>BLDG 1135</v>
      </c>
      <c r="C207" s="90" t="str">
        <v>4th Floor</v>
      </c>
      <c r="D207" s="91">
        <v>0</v>
      </c>
      <c r="E207" s="92" t="str">
        <v>PRE</v>
      </c>
      <c r="F207" s="92" t="str">
        <v>4-02</v>
      </c>
      <c r="G207" s="92" t="str">
        <v>ZLP Pleat</v>
      </c>
      <c r="H207" s="91">
        <v>0</v>
      </c>
      <c r="I207" s="91">
        <v>0</v>
      </c>
      <c r="J207" s="93" t="str">
        <v>16x25x2</v>
      </c>
      <c r="K207" s="93">
        <v>1</v>
      </c>
      <c r="L207" s="93" t="str">
        <v>180 Days</v>
      </c>
      <c r="M207" s="93">
        <v>28177</v>
      </c>
      <c r="N207" s="94">
        <v>46035</v>
      </c>
      <c r="O207" s="94">
        <v>46215</v>
      </c>
      <c r="P207" s="93">
        <v>28177</v>
      </c>
      <c r="Q207" s="92">
        <v>0</v>
      </c>
    </row>
    <row r="208" spans="2:17" x14ac:dyDescent="0.25">
      <c r="B208" s="92" t="str">
        <v>BLDG 1135</v>
      </c>
      <c r="C208" s="90" t="str">
        <v>4th Floor</v>
      </c>
      <c r="D208" s="91">
        <v>0</v>
      </c>
      <c r="E208" s="92" t="str">
        <v>FINAL</v>
      </c>
      <c r="F208" s="92" t="str">
        <v>4-03</v>
      </c>
      <c r="G208" s="92" t="str">
        <v>ZPS Box Filter DH</v>
      </c>
      <c r="H208" s="91">
        <v>0</v>
      </c>
      <c r="I208" s="91">
        <v>0</v>
      </c>
      <c r="J208" s="93" t="str">
        <v>16x25x12</v>
      </c>
      <c r="K208" s="93">
        <v>1</v>
      </c>
      <c r="L208" s="93" t="str">
        <v>365 Days</v>
      </c>
      <c r="M208" s="93">
        <v>11308</v>
      </c>
      <c r="N208" s="94">
        <v>45887</v>
      </c>
      <c r="O208" s="94">
        <v>46252</v>
      </c>
      <c r="P208" s="93">
        <v>0</v>
      </c>
      <c r="Q208" s="92">
        <v>0</v>
      </c>
    </row>
    <row r="209" spans="2:17" x14ac:dyDescent="0.25">
      <c r="B209" s="92">
        <v>0</v>
      </c>
      <c r="C209" s="90">
        <v>0</v>
      </c>
      <c r="D209" s="91">
        <v>0</v>
      </c>
      <c r="E209" s="92" t="str">
        <v/>
      </c>
      <c r="F209" s="92">
        <v>0</v>
      </c>
      <c r="G209" s="92">
        <v>0</v>
      </c>
      <c r="H209" s="91">
        <v>0</v>
      </c>
      <c r="I209" s="91">
        <v>0</v>
      </c>
      <c r="J209" s="93">
        <v>0</v>
      </c>
      <c r="K209" s="93">
        <v>0</v>
      </c>
      <c r="L209" s="93">
        <v>0</v>
      </c>
      <c r="M209" s="93">
        <v>0</v>
      </c>
      <c r="N209" s="94">
        <v>0</v>
      </c>
      <c r="O209" s="94">
        <v>0</v>
      </c>
      <c r="P209" s="93">
        <v>0</v>
      </c>
      <c r="Q209" s="92">
        <v>0</v>
      </c>
    </row>
    <row r="210" spans="2:17" x14ac:dyDescent="0.25">
      <c r="B210" s="92" t="str">
        <v>BLDG 1135</v>
      </c>
      <c r="C210" s="90" t="str">
        <v>4th Floor</v>
      </c>
      <c r="D210" s="91">
        <v>0</v>
      </c>
      <c r="E210" s="92" t="str">
        <v>PRE</v>
      </c>
      <c r="F210" s="92" t="str">
        <v>4-03</v>
      </c>
      <c r="G210" s="92" t="str">
        <v>ZLP Pleat</v>
      </c>
      <c r="H210" s="91">
        <v>0</v>
      </c>
      <c r="I210" s="91">
        <v>0</v>
      </c>
      <c r="J210" s="93" t="str">
        <v>16x25x2</v>
      </c>
      <c r="K210" s="93">
        <v>1</v>
      </c>
      <c r="L210" s="93" t="str">
        <v>180 Days</v>
      </c>
      <c r="M210" s="93">
        <v>28177</v>
      </c>
      <c r="N210" s="94">
        <v>46035</v>
      </c>
      <c r="O210" s="94">
        <v>46215</v>
      </c>
      <c r="P210" s="93">
        <v>28177</v>
      </c>
      <c r="Q210" s="92">
        <v>0</v>
      </c>
    </row>
    <row r="211" spans="2:17" x14ac:dyDescent="0.25">
      <c r="B211" s="92" t="str">
        <v>BLDG 1135</v>
      </c>
      <c r="C211" s="90" t="str">
        <v>4th Floor</v>
      </c>
      <c r="D211" s="91">
        <v>0</v>
      </c>
      <c r="E211" s="92" t="str">
        <v>FINAL</v>
      </c>
      <c r="F211" s="92" t="str">
        <v>4-03</v>
      </c>
      <c r="G211" s="92" t="str">
        <v>ZPS Box Filter DH</v>
      </c>
      <c r="H211" s="91">
        <v>0</v>
      </c>
      <c r="I211" s="91">
        <v>0</v>
      </c>
      <c r="J211" s="93" t="str">
        <v>16x25x12</v>
      </c>
      <c r="K211" s="93">
        <v>1</v>
      </c>
      <c r="L211" s="93" t="str">
        <v>365 Days</v>
      </c>
      <c r="M211" s="93">
        <v>11308</v>
      </c>
      <c r="N211" s="94">
        <v>45887</v>
      </c>
      <c r="O211" s="94">
        <v>46252</v>
      </c>
      <c r="P211" s="93">
        <v>0</v>
      </c>
      <c r="Q211" s="92">
        <v>0</v>
      </c>
    </row>
    <row r="212" spans="2:17" x14ac:dyDescent="0.25">
      <c r="B212" s="92">
        <v>0</v>
      </c>
      <c r="C212" s="90">
        <v>0</v>
      </c>
      <c r="D212" s="91">
        <v>0</v>
      </c>
      <c r="E212" s="92" t="str">
        <v/>
      </c>
      <c r="F212" s="92">
        <v>0</v>
      </c>
      <c r="G212" s="92">
        <v>0</v>
      </c>
      <c r="H212" s="91">
        <v>0</v>
      </c>
      <c r="I212" s="91">
        <v>0</v>
      </c>
      <c r="J212" s="93">
        <v>0</v>
      </c>
      <c r="K212" s="93">
        <v>0</v>
      </c>
      <c r="L212" s="93">
        <v>0</v>
      </c>
      <c r="M212" s="93">
        <v>0</v>
      </c>
      <c r="N212" s="94">
        <v>0</v>
      </c>
      <c r="O212" s="94">
        <v>0</v>
      </c>
      <c r="P212" s="93">
        <v>0</v>
      </c>
      <c r="Q212" s="92">
        <v>0</v>
      </c>
    </row>
    <row r="213" spans="2:17" x14ac:dyDescent="0.25">
      <c r="B213" s="92" t="str">
        <v>BLDG 1135</v>
      </c>
      <c r="C213" s="90" t="str">
        <v>4th Floor</v>
      </c>
      <c r="D213" s="91">
        <v>0</v>
      </c>
      <c r="E213" s="92" t="str">
        <v>PRE</v>
      </c>
      <c r="F213" s="92" t="str">
        <v>4-04</v>
      </c>
      <c r="G213" s="92" t="str">
        <v>ZLP Pleat</v>
      </c>
      <c r="H213" s="91">
        <v>0</v>
      </c>
      <c r="I213" s="91">
        <v>0</v>
      </c>
      <c r="J213" s="93" t="str">
        <v>16x25x2</v>
      </c>
      <c r="K213" s="93">
        <v>1</v>
      </c>
      <c r="L213" s="93" t="str">
        <v>180 Days</v>
      </c>
      <c r="M213" s="93">
        <v>28177</v>
      </c>
      <c r="N213" s="94">
        <v>46035</v>
      </c>
      <c r="O213" s="94">
        <v>46215</v>
      </c>
      <c r="P213" s="93">
        <v>28177</v>
      </c>
      <c r="Q213" s="92">
        <v>0</v>
      </c>
    </row>
    <row r="214" spans="2:17" x14ac:dyDescent="0.25">
      <c r="B214" s="92" t="str">
        <v>BLDG 1135</v>
      </c>
      <c r="C214" s="90" t="str">
        <v>4th Floor</v>
      </c>
      <c r="D214" s="91">
        <v>0</v>
      </c>
      <c r="E214" s="92" t="str">
        <v>FINAL</v>
      </c>
      <c r="F214" s="92" t="str">
        <v>4-04</v>
      </c>
      <c r="G214" s="92" t="str">
        <v>ZPS Box Filter DH</v>
      </c>
      <c r="H214" s="91">
        <v>0</v>
      </c>
      <c r="I214" s="91">
        <v>0</v>
      </c>
      <c r="J214" s="93" t="str">
        <v>16x25x12</v>
      </c>
      <c r="K214" s="93">
        <v>1</v>
      </c>
      <c r="L214" s="93" t="str">
        <v>365 Days</v>
      </c>
      <c r="M214" s="93">
        <v>11308</v>
      </c>
      <c r="N214" s="94">
        <v>45887</v>
      </c>
      <c r="O214" s="94">
        <v>46252</v>
      </c>
      <c r="P214" s="93">
        <v>0</v>
      </c>
      <c r="Q214" s="92">
        <v>0</v>
      </c>
    </row>
    <row r="215" spans="2:17" x14ac:dyDescent="0.25">
      <c r="B215" s="92">
        <v>0</v>
      </c>
      <c r="C215" s="90">
        <v>0</v>
      </c>
      <c r="D215" s="91">
        <v>0</v>
      </c>
      <c r="E215" s="92" t="str">
        <v/>
      </c>
      <c r="F215" s="92">
        <v>0</v>
      </c>
      <c r="G215" s="92">
        <v>0</v>
      </c>
      <c r="H215" s="91">
        <v>0</v>
      </c>
      <c r="I215" s="91">
        <v>0</v>
      </c>
      <c r="J215" s="93">
        <v>0</v>
      </c>
      <c r="K215" s="93">
        <v>0</v>
      </c>
      <c r="L215" s="93">
        <v>0</v>
      </c>
      <c r="M215" s="93">
        <v>0</v>
      </c>
      <c r="N215" s="94">
        <v>0</v>
      </c>
      <c r="O215" s="94">
        <v>0</v>
      </c>
      <c r="P215" s="93">
        <v>0</v>
      </c>
      <c r="Q215" s="92">
        <v>0</v>
      </c>
    </row>
    <row r="216" spans="2:17" x14ac:dyDescent="0.25">
      <c r="B216" s="92" t="str">
        <v>BLDG 1135</v>
      </c>
      <c r="C216" s="90" t="str">
        <v>4th Floor</v>
      </c>
      <c r="D216" s="91">
        <v>0</v>
      </c>
      <c r="E216" s="92" t="str">
        <v>PRE</v>
      </c>
      <c r="F216" s="92" t="str">
        <v>4-05</v>
      </c>
      <c r="G216" s="92" t="str">
        <v>ZLP Pleat</v>
      </c>
      <c r="H216" s="91">
        <v>0</v>
      </c>
      <c r="I216" s="91">
        <v>0</v>
      </c>
      <c r="J216" s="93" t="str">
        <v>16x25x2</v>
      </c>
      <c r="K216" s="93">
        <v>1</v>
      </c>
      <c r="L216" s="93" t="str">
        <v>180 Days</v>
      </c>
      <c r="M216" s="93">
        <v>28177</v>
      </c>
      <c r="N216" s="94">
        <v>46035</v>
      </c>
      <c r="O216" s="94">
        <v>46215</v>
      </c>
      <c r="P216" s="93">
        <v>28177</v>
      </c>
      <c r="Q216" s="92">
        <v>0</v>
      </c>
    </row>
    <row r="217" spans="2:17" x14ac:dyDescent="0.25">
      <c r="B217" s="92" t="str">
        <v>BLDG 1135</v>
      </c>
      <c r="C217" s="90" t="str">
        <v>4th Floor</v>
      </c>
      <c r="D217" s="91">
        <v>0</v>
      </c>
      <c r="E217" s="92" t="str">
        <v>FINAL</v>
      </c>
      <c r="F217" s="92" t="str">
        <v>4-05</v>
      </c>
      <c r="G217" s="92" t="str">
        <v>ZPS Box Filter DH</v>
      </c>
      <c r="H217" s="91">
        <v>0</v>
      </c>
      <c r="I217" s="91">
        <v>0</v>
      </c>
      <c r="J217" s="93" t="str">
        <v>16x25x12</v>
      </c>
      <c r="K217" s="93">
        <v>1</v>
      </c>
      <c r="L217" s="93" t="str">
        <v>365 Days</v>
      </c>
      <c r="M217" s="93">
        <v>11308</v>
      </c>
      <c r="N217" s="94">
        <v>45887</v>
      </c>
      <c r="O217" s="94">
        <v>46252</v>
      </c>
      <c r="P217" s="93">
        <v>0</v>
      </c>
      <c r="Q217" s="92">
        <v>0</v>
      </c>
    </row>
    <row r="218" spans="2:17" x14ac:dyDescent="0.25">
      <c r="B218" s="92">
        <v>0</v>
      </c>
      <c r="C218" s="90">
        <v>0</v>
      </c>
      <c r="D218" s="91">
        <v>0</v>
      </c>
      <c r="E218" s="92" t="str">
        <v/>
      </c>
      <c r="F218" s="92">
        <v>0</v>
      </c>
      <c r="G218" s="92">
        <v>0</v>
      </c>
      <c r="H218" s="91">
        <v>0</v>
      </c>
      <c r="I218" s="91">
        <v>0</v>
      </c>
      <c r="J218" s="93">
        <v>0</v>
      </c>
      <c r="K218" s="93">
        <v>0</v>
      </c>
      <c r="L218" s="93">
        <v>0</v>
      </c>
      <c r="M218" s="93">
        <v>0</v>
      </c>
      <c r="N218" s="94">
        <v>0</v>
      </c>
      <c r="O218" s="94">
        <v>0</v>
      </c>
      <c r="P218" s="93">
        <v>0</v>
      </c>
      <c r="Q218" s="92">
        <v>0</v>
      </c>
    </row>
    <row r="219" spans="2:17" x14ac:dyDescent="0.25">
      <c r="B219" s="92" t="str">
        <v>BLDG 1135</v>
      </c>
      <c r="C219" s="90" t="str">
        <v>4th Floor</v>
      </c>
      <c r="D219" s="91">
        <v>0</v>
      </c>
      <c r="E219" s="92" t="str">
        <v>PRE</v>
      </c>
      <c r="F219" s="92" t="str">
        <v>4-06</v>
      </c>
      <c r="G219" s="92" t="str">
        <v>ZLP Pleat</v>
      </c>
      <c r="H219" s="91">
        <v>0</v>
      </c>
      <c r="I219" s="91">
        <v>0</v>
      </c>
      <c r="J219" s="93" t="str">
        <v>16x25x2</v>
      </c>
      <c r="K219" s="93">
        <v>1</v>
      </c>
      <c r="L219" s="93" t="str">
        <v>180 Days</v>
      </c>
      <c r="M219" s="93">
        <v>28177</v>
      </c>
      <c r="N219" s="94">
        <v>46035</v>
      </c>
      <c r="O219" s="94">
        <v>46215</v>
      </c>
      <c r="P219" s="93">
        <v>28177</v>
      </c>
      <c r="Q219" s="92">
        <v>0</v>
      </c>
    </row>
    <row r="220" spans="2:17" x14ac:dyDescent="0.25">
      <c r="B220" s="92" t="str">
        <v>BLDG 1135</v>
      </c>
      <c r="C220" s="90" t="str">
        <v>4th Floor</v>
      </c>
      <c r="D220" s="91">
        <v>0</v>
      </c>
      <c r="E220" s="92" t="str">
        <v>FINAL</v>
      </c>
      <c r="F220" s="92" t="str">
        <v>4-06</v>
      </c>
      <c r="G220" s="92" t="str">
        <v>ZPS Box Filter DH</v>
      </c>
      <c r="H220" s="91">
        <v>0</v>
      </c>
      <c r="I220" s="91">
        <v>0</v>
      </c>
      <c r="J220" s="93" t="str">
        <v>16x25x12</v>
      </c>
      <c r="K220" s="93">
        <v>1</v>
      </c>
      <c r="L220" s="93" t="str">
        <v>365 Days</v>
      </c>
      <c r="M220" s="93">
        <v>11308</v>
      </c>
      <c r="N220" s="94">
        <v>45887</v>
      </c>
      <c r="O220" s="94">
        <v>46252</v>
      </c>
      <c r="P220" s="93">
        <v>0</v>
      </c>
      <c r="Q220" s="92">
        <v>0</v>
      </c>
    </row>
    <row r="221" spans="2:17" x14ac:dyDescent="0.25">
      <c r="B221" s="92">
        <v>0</v>
      </c>
      <c r="C221" s="90">
        <v>0</v>
      </c>
      <c r="D221" s="91">
        <v>0</v>
      </c>
      <c r="E221" s="92" t="str">
        <v/>
      </c>
      <c r="F221" s="92">
        <v>0</v>
      </c>
      <c r="G221" s="92">
        <v>0</v>
      </c>
      <c r="H221" s="91">
        <v>0</v>
      </c>
      <c r="I221" s="91">
        <v>0</v>
      </c>
      <c r="J221" s="93">
        <v>0</v>
      </c>
      <c r="K221" s="93">
        <v>0</v>
      </c>
      <c r="L221" s="93">
        <v>0</v>
      </c>
      <c r="M221" s="93">
        <v>0</v>
      </c>
      <c r="N221" s="94">
        <v>0</v>
      </c>
      <c r="O221" s="94">
        <v>0</v>
      </c>
      <c r="P221" s="93">
        <v>0</v>
      </c>
      <c r="Q221" s="92">
        <v>0</v>
      </c>
    </row>
    <row r="222" spans="2:17" x14ac:dyDescent="0.25">
      <c r="B222" s="92" t="str">
        <v>BLDG 1135</v>
      </c>
      <c r="C222" s="90" t="str">
        <v>4th Floor</v>
      </c>
      <c r="D222" s="91">
        <v>0</v>
      </c>
      <c r="E222" s="92" t="str">
        <v>PRE</v>
      </c>
      <c r="F222" s="92" t="str">
        <v>4-07</v>
      </c>
      <c r="G222" s="92" t="str">
        <v>ZLP Pleat</v>
      </c>
      <c r="H222" s="91">
        <v>0</v>
      </c>
      <c r="I222" s="91">
        <v>0</v>
      </c>
      <c r="J222" s="93" t="str">
        <v>16x25x2</v>
      </c>
      <c r="K222" s="93">
        <v>1</v>
      </c>
      <c r="L222" s="93" t="str">
        <v>180 Days</v>
      </c>
      <c r="M222" s="93">
        <v>28177</v>
      </c>
      <c r="N222" s="94">
        <v>46035</v>
      </c>
      <c r="O222" s="94">
        <v>46215</v>
      </c>
      <c r="P222" s="93">
        <v>28177</v>
      </c>
      <c r="Q222" s="92">
        <v>0</v>
      </c>
    </row>
    <row r="223" spans="2:17" x14ac:dyDescent="0.25">
      <c r="B223" s="92" t="str">
        <v>BLDG 1135</v>
      </c>
      <c r="C223" s="90" t="str">
        <v>4th Floor</v>
      </c>
      <c r="D223" s="91">
        <v>0</v>
      </c>
      <c r="E223" s="92" t="str">
        <v>FINAL</v>
      </c>
      <c r="F223" s="92" t="str">
        <v>4-07</v>
      </c>
      <c r="G223" s="92" t="str">
        <v>ZPS Box Filter DH</v>
      </c>
      <c r="H223" s="91">
        <v>0</v>
      </c>
      <c r="I223" s="91">
        <v>0</v>
      </c>
      <c r="J223" s="93" t="str">
        <v>16x25x12</v>
      </c>
      <c r="K223" s="93">
        <v>1</v>
      </c>
      <c r="L223" s="93" t="str">
        <v>365 Days</v>
      </c>
      <c r="M223" s="93">
        <v>11308</v>
      </c>
      <c r="N223" s="94">
        <v>45887</v>
      </c>
      <c r="O223" s="94">
        <v>46252</v>
      </c>
      <c r="P223" s="93">
        <v>0</v>
      </c>
      <c r="Q223" s="92">
        <v>0</v>
      </c>
    </row>
    <row r="224" spans="2:17" x14ac:dyDescent="0.25">
      <c r="B224" s="92">
        <v>0</v>
      </c>
      <c r="C224" s="90">
        <v>0</v>
      </c>
      <c r="D224" s="91">
        <v>0</v>
      </c>
      <c r="E224" s="92" t="str">
        <v/>
      </c>
      <c r="F224" s="92">
        <v>0</v>
      </c>
      <c r="G224" s="92">
        <v>0</v>
      </c>
      <c r="H224" s="91">
        <v>0</v>
      </c>
      <c r="I224" s="91">
        <v>0</v>
      </c>
      <c r="J224" s="93">
        <v>0</v>
      </c>
      <c r="K224" s="93">
        <v>0</v>
      </c>
      <c r="L224" s="93">
        <v>0</v>
      </c>
      <c r="M224" s="93">
        <v>0</v>
      </c>
      <c r="N224" s="94">
        <v>0</v>
      </c>
      <c r="O224" s="94">
        <v>0</v>
      </c>
      <c r="P224" s="93">
        <v>0</v>
      </c>
      <c r="Q224" s="92">
        <v>0</v>
      </c>
    </row>
    <row r="225" spans="2:17" x14ac:dyDescent="0.25">
      <c r="B225" s="92" t="str">
        <v>BLDG 1135</v>
      </c>
      <c r="C225" s="90" t="str">
        <v>4th Floor</v>
      </c>
      <c r="D225" s="91">
        <v>0</v>
      </c>
      <c r="E225" s="92" t="str">
        <v>PRE</v>
      </c>
      <c r="F225" s="92" t="str">
        <v>4-08</v>
      </c>
      <c r="G225" s="92" t="str">
        <v>ZLP Pleat</v>
      </c>
      <c r="H225" s="91">
        <v>0</v>
      </c>
      <c r="I225" s="91">
        <v>0</v>
      </c>
      <c r="J225" s="93" t="str">
        <v>16x25x2</v>
      </c>
      <c r="K225" s="93">
        <v>1</v>
      </c>
      <c r="L225" s="93" t="str">
        <v>180 Days</v>
      </c>
      <c r="M225" s="93">
        <v>28177</v>
      </c>
      <c r="N225" s="94">
        <v>46035</v>
      </c>
      <c r="O225" s="94">
        <v>46215</v>
      </c>
      <c r="P225" s="93">
        <v>28177</v>
      </c>
      <c r="Q225" s="92">
        <v>0</v>
      </c>
    </row>
    <row r="226" spans="2:17" x14ac:dyDescent="0.25">
      <c r="B226" s="92" t="str">
        <v>BLDG 1135</v>
      </c>
      <c r="C226" s="90" t="str">
        <v>4th Floor</v>
      </c>
      <c r="D226" s="91">
        <v>0</v>
      </c>
      <c r="E226" s="92" t="str">
        <v>FINAL</v>
      </c>
      <c r="F226" s="92" t="str">
        <v>4-08</v>
      </c>
      <c r="G226" s="92" t="str">
        <v>ZPS Box Filter DH</v>
      </c>
      <c r="H226" s="91">
        <v>0</v>
      </c>
      <c r="I226" s="91">
        <v>0</v>
      </c>
      <c r="J226" s="93" t="str">
        <v>16x25x12</v>
      </c>
      <c r="K226" s="93">
        <v>1</v>
      </c>
      <c r="L226" s="93" t="str">
        <v>365 Days</v>
      </c>
      <c r="M226" s="93">
        <v>11308</v>
      </c>
      <c r="N226" s="94">
        <v>45887</v>
      </c>
      <c r="O226" s="94">
        <v>46252</v>
      </c>
      <c r="P226" s="93">
        <v>0</v>
      </c>
      <c r="Q226" s="92">
        <v>0</v>
      </c>
    </row>
    <row r="227" spans="2:17" x14ac:dyDescent="0.25">
      <c r="B227" s="92">
        <v>0</v>
      </c>
      <c r="C227" s="90">
        <v>0</v>
      </c>
      <c r="D227" s="91">
        <v>0</v>
      </c>
      <c r="E227" s="92" t="str">
        <v/>
      </c>
      <c r="F227" s="92">
        <v>0</v>
      </c>
      <c r="G227" s="92">
        <v>0</v>
      </c>
      <c r="H227" s="91">
        <v>0</v>
      </c>
      <c r="I227" s="91">
        <v>0</v>
      </c>
      <c r="J227" s="93">
        <v>0</v>
      </c>
      <c r="K227" s="93">
        <v>0</v>
      </c>
      <c r="L227" s="93">
        <v>0</v>
      </c>
      <c r="M227" s="93">
        <v>0</v>
      </c>
      <c r="N227" s="94">
        <v>0</v>
      </c>
      <c r="O227" s="94">
        <v>0</v>
      </c>
      <c r="P227" s="93">
        <v>0</v>
      </c>
      <c r="Q227" s="92">
        <v>0</v>
      </c>
    </row>
    <row r="228" spans="2:17" x14ac:dyDescent="0.25">
      <c r="B228" s="92" t="str">
        <v>BLDG 1135</v>
      </c>
      <c r="C228" s="90" t="str">
        <v>4th Floor</v>
      </c>
      <c r="D228" s="91">
        <v>0</v>
      </c>
      <c r="E228" s="92" t="str">
        <v>PRE</v>
      </c>
      <c r="F228" s="92" t="str">
        <v>4-09</v>
      </c>
      <c r="G228" s="92" t="str">
        <v>ZLP Pleat</v>
      </c>
      <c r="H228" s="91">
        <v>0</v>
      </c>
      <c r="I228" s="91">
        <v>0</v>
      </c>
      <c r="J228" s="93" t="str">
        <v>16x25x2</v>
      </c>
      <c r="K228" s="93">
        <v>1</v>
      </c>
      <c r="L228" s="93" t="str">
        <v>180 Days</v>
      </c>
      <c r="M228" s="93">
        <v>28177</v>
      </c>
      <c r="N228" s="94">
        <v>46035</v>
      </c>
      <c r="O228" s="94">
        <v>46215</v>
      </c>
      <c r="P228" s="93">
        <v>28177</v>
      </c>
      <c r="Q228" s="92">
        <v>0</v>
      </c>
    </row>
    <row r="229" spans="2:17" x14ac:dyDescent="0.25">
      <c r="B229" s="92" t="str">
        <v>BLDG 1135</v>
      </c>
      <c r="C229" s="90" t="str">
        <v>4th Floor</v>
      </c>
      <c r="D229" s="91">
        <v>0</v>
      </c>
      <c r="E229" s="92" t="str">
        <v>FINAL</v>
      </c>
      <c r="F229" s="92" t="str">
        <v>4-09</v>
      </c>
      <c r="G229" s="92" t="str">
        <v>ZPS Box Filter DH</v>
      </c>
      <c r="H229" s="91">
        <v>0</v>
      </c>
      <c r="I229" s="91">
        <v>0</v>
      </c>
      <c r="J229" s="93" t="str">
        <v>16x25x12</v>
      </c>
      <c r="K229" s="93">
        <v>1</v>
      </c>
      <c r="L229" s="93" t="str">
        <v>365 Days</v>
      </c>
      <c r="M229" s="93">
        <v>11308</v>
      </c>
      <c r="N229" s="94">
        <v>45887</v>
      </c>
      <c r="O229" s="94">
        <v>46252</v>
      </c>
      <c r="P229" s="93">
        <v>0</v>
      </c>
      <c r="Q229" s="92">
        <v>0</v>
      </c>
    </row>
    <row r="230" spans="2:17" x14ac:dyDescent="0.25">
      <c r="B230" s="92">
        <v>0</v>
      </c>
      <c r="C230" s="90">
        <v>0</v>
      </c>
      <c r="D230" s="91">
        <v>0</v>
      </c>
      <c r="E230" s="92" t="str">
        <v/>
      </c>
      <c r="F230" s="92">
        <v>0</v>
      </c>
      <c r="G230" s="92">
        <v>0</v>
      </c>
      <c r="H230" s="91">
        <v>0</v>
      </c>
      <c r="I230" s="91">
        <v>0</v>
      </c>
      <c r="J230" s="93">
        <v>0</v>
      </c>
      <c r="K230" s="93">
        <v>0</v>
      </c>
      <c r="L230" s="93">
        <v>0</v>
      </c>
      <c r="M230" s="93">
        <v>0</v>
      </c>
      <c r="N230" s="94">
        <v>0</v>
      </c>
      <c r="O230" s="94">
        <v>0</v>
      </c>
      <c r="P230" s="93">
        <v>0</v>
      </c>
      <c r="Q230" s="92">
        <v>0</v>
      </c>
    </row>
    <row r="231" spans="2:17" x14ac:dyDescent="0.25">
      <c r="B231" s="92" t="str">
        <v>BLDG 1135</v>
      </c>
      <c r="C231" s="90" t="str">
        <v>4th Floor</v>
      </c>
      <c r="D231" s="91">
        <v>0</v>
      </c>
      <c r="E231" s="92" t="str">
        <v>PRE</v>
      </c>
      <c r="F231" s="92" t="str">
        <v>4-10</v>
      </c>
      <c r="G231" s="92" t="str">
        <v>ZLP Pleat</v>
      </c>
      <c r="H231" s="91">
        <v>0</v>
      </c>
      <c r="I231" s="91">
        <v>0</v>
      </c>
      <c r="J231" s="93" t="str">
        <v>16x25x2</v>
      </c>
      <c r="K231" s="93">
        <v>1</v>
      </c>
      <c r="L231" s="93" t="str">
        <v>180 Days</v>
      </c>
      <c r="M231" s="93">
        <v>28177</v>
      </c>
      <c r="N231" s="94">
        <v>46035</v>
      </c>
      <c r="O231" s="94">
        <v>46215</v>
      </c>
      <c r="P231" s="93">
        <v>28177</v>
      </c>
      <c r="Q231" s="92">
        <v>0</v>
      </c>
    </row>
    <row r="232" spans="2:17" x14ac:dyDescent="0.25">
      <c r="B232" s="92" t="str">
        <v>BLDG 1135</v>
      </c>
      <c r="C232" s="90" t="str">
        <v>4th Floor</v>
      </c>
      <c r="D232" s="91">
        <v>0</v>
      </c>
      <c r="E232" s="92" t="str">
        <v>FINAL</v>
      </c>
      <c r="F232" s="92" t="str">
        <v>4-10</v>
      </c>
      <c r="G232" s="92" t="str">
        <v>ZPS No Header</v>
      </c>
      <c r="H232" s="91">
        <v>0</v>
      </c>
      <c r="I232" s="91">
        <v>0</v>
      </c>
      <c r="J232" s="93" t="str">
        <v>16x25x12</v>
      </c>
      <c r="K232" s="93">
        <v>1</v>
      </c>
      <c r="L232" s="93" t="str">
        <v>365 Days</v>
      </c>
      <c r="M232" s="93">
        <v>11308</v>
      </c>
      <c r="N232" s="94">
        <v>45887</v>
      </c>
      <c r="O232" s="94">
        <v>46252</v>
      </c>
      <c r="P232" s="93">
        <v>0</v>
      </c>
      <c r="Q232" s="92">
        <v>0</v>
      </c>
    </row>
    <row r="233" spans="2:17" x14ac:dyDescent="0.25">
      <c r="B233" s="92">
        <v>0</v>
      </c>
      <c r="C233" s="90">
        <v>0</v>
      </c>
      <c r="D233" s="91">
        <v>0</v>
      </c>
      <c r="E233" s="92" t="str">
        <v/>
      </c>
      <c r="F233" s="92">
        <v>0</v>
      </c>
      <c r="G233" s="92">
        <v>0</v>
      </c>
      <c r="H233" s="91">
        <v>0</v>
      </c>
      <c r="I233" s="91">
        <v>0</v>
      </c>
      <c r="J233" s="93">
        <v>0</v>
      </c>
      <c r="K233" s="93">
        <v>0</v>
      </c>
      <c r="L233" s="93">
        <v>0</v>
      </c>
      <c r="M233" s="93">
        <v>0</v>
      </c>
      <c r="N233" s="94">
        <v>0</v>
      </c>
      <c r="O233" s="94">
        <v>0</v>
      </c>
      <c r="P233" s="93">
        <v>0</v>
      </c>
      <c r="Q233" s="92">
        <v>0</v>
      </c>
    </row>
    <row r="234" spans="2:17" x14ac:dyDescent="0.25">
      <c r="B234" s="92" t="str">
        <v>BLDG 1135</v>
      </c>
      <c r="C234" s="90" t="str">
        <v>4th Floor</v>
      </c>
      <c r="D234" s="91">
        <v>0</v>
      </c>
      <c r="E234" s="92" t="str">
        <v>PRE</v>
      </c>
      <c r="F234" s="92" t="str">
        <v>4-12</v>
      </c>
      <c r="G234" s="92" t="str">
        <v>ZLP Pleat</v>
      </c>
      <c r="H234" s="91">
        <v>0</v>
      </c>
      <c r="I234" s="91">
        <v>0</v>
      </c>
      <c r="J234" s="93" t="str">
        <v>16x25x2</v>
      </c>
      <c r="K234" s="93">
        <v>1</v>
      </c>
      <c r="L234" s="93" t="str">
        <v>180 Days</v>
      </c>
      <c r="M234" s="93">
        <v>28177</v>
      </c>
      <c r="N234" s="94">
        <v>46035</v>
      </c>
      <c r="O234" s="94">
        <v>46215</v>
      </c>
      <c r="P234" s="93">
        <v>28177</v>
      </c>
      <c r="Q234" s="92">
        <v>0</v>
      </c>
    </row>
    <row r="235" spans="2:17" x14ac:dyDescent="0.25">
      <c r="B235" s="92" t="str">
        <v>BLDG 1135</v>
      </c>
      <c r="C235" s="90" t="str">
        <v>4th Floor</v>
      </c>
      <c r="D235" s="91">
        <v>0</v>
      </c>
      <c r="E235" s="92" t="str">
        <v>FINAL</v>
      </c>
      <c r="F235" s="92" t="str">
        <v>4-12</v>
      </c>
      <c r="G235" s="92" t="str">
        <v>ZPS Box Filter DH</v>
      </c>
      <c r="H235" s="91">
        <v>0</v>
      </c>
      <c r="I235" s="91">
        <v>0</v>
      </c>
      <c r="J235" s="93" t="str">
        <v>16x25x12</v>
      </c>
      <c r="K235" s="93">
        <v>1</v>
      </c>
      <c r="L235" s="93" t="str">
        <v>365 Days</v>
      </c>
      <c r="M235" s="93">
        <v>11308</v>
      </c>
      <c r="N235" s="94">
        <v>45887</v>
      </c>
      <c r="O235" s="94">
        <v>46252</v>
      </c>
      <c r="P235" s="93">
        <v>0</v>
      </c>
      <c r="Q235" s="92">
        <v>0</v>
      </c>
    </row>
    <row r="236" spans="2:17" x14ac:dyDescent="0.25">
      <c r="B236" s="92">
        <v>0</v>
      </c>
      <c r="C236" s="90">
        <v>0</v>
      </c>
      <c r="D236" s="91">
        <v>0</v>
      </c>
      <c r="E236" s="92" t="str">
        <v/>
      </c>
      <c r="F236" s="92">
        <v>0</v>
      </c>
      <c r="G236" s="92">
        <v>0</v>
      </c>
      <c r="H236" s="91">
        <v>0</v>
      </c>
      <c r="I236" s="91">
        <v>0</v>
      </c>
      <c r="J236" s="93">
        <v>0</v>
      </c>
      <c r="K236" s="93">
        <v>0</v>
      </c>
      <c r="L236" s="93">
        <v>0</v>
      </c>
      <c r="M236" s="93">
        <v>0</v>
      </c>
      <c r="N236" s="94">
        <v>0</v>
      </c>
      <c r="O236" s="94">
        <v>0</v>
      </c>
      <c r="P236" s="93">
        <v>0</v>
      </c>
      <c r="Q236" s="92">
        <v>0</v>
      </c>
    </row>
    <row r="237" spans="2:17" x14ac:dyDescent="0.25">
      <c r="B237" s="92" t="str">
        <v>BLDG 1135</v>
      </c>
      <c r="C237" s="90" t="str">
        <v>4th Floor</v>
      </c>
      <c r="D237" s="91">
        <v>0</v>
      </c>
      <c r="E237" s="92" t="str">
        <v>PRE</v>
      </c>
      <c r="F237" s="92" t="str">
        <v>4-13</v>
      </c>
      <c r="G237" s="92" t="str">
        <v>ZLP Pleat</v>
      </c>
      <c r="H237" s="91">
        <v>0</v>
      </c>
      <c r="I237" s="91">
        <v>0</v>
      </c>
      <c r="J237" s="93" t="str">
        <v>16x25x2</v>
      </c>
      <c r="K237" s="93">
        <v>1</v>
      </c>
      <c r="L237" s="93" t="str">
        <v>180 Days</v>
      </c>
      <c r="M237" s="93">
        <v>28177</v>
      </c>
      <c r="N237" s="94">
        <v>46035</v>
      </c>
      <c r="O237" s="94">
        <v>46215</v>
      </c>
      <c r="P237" s="93">
        <v>28177</v>
      </c>
      <c r="Q237" s="92">
        <v>0</v>
      </c>
    </row>
    <row r="238" spans="2:17" x14ac:dyDescent="0.25">
      <c r="B238" s="92" t="str">
        <v>BLDG 1135</v>
      </c>
      <c r="C238" s="90" t="str">
        <v>4th Floor</v>
      </c>
      <c r="D238" s="91">
        <v>0</v>
      </c>
      <c r="E238" s="92" t="str">
        <v>FINAL</v>
      </c>
      <c r="F238" s="92" t="str">
        <v>4-13</v>
      </c>
      <c r="G238" s="92" t="str">
        <v>ZPS Box Filter DH</v>
      </c>
      <c r="H238" s="91">
        <v>0</v>
      </c>
      <c r="I238" s="91">
        <v>0</v>
      </c>
      <c r="J238" s="93" t="str">
        <v>16x25x12</v>
      </c>
      <c r="K238" s="93">
        <v>1</v>
      </c>
      <c r="L238" s="93" t="str">
        <v>365 Days</v>
      </c>
      <c r="M238" s="93">
        <v>11308</v>
      </c>
      <c r="N238" s="94">
        <v>45887</v>
      </c>
      <c r="O238" s="94">
        <v>46252</v>
      </c>
      <c r="P238" s="93">
        <v>0</v>
      </c>
      <c r="Q238" s="92">
        <v>0</v>
      </c>
    </row>
    <row r="239" spans="2:17" x14ac:dyDescent="0.25">
      <c r="B239" s="92">
        <v>0</v>
      </c>
      <c r="C239" s="90">
        <v>0</v>
      </c>
      <c r="D239" s="91">
        <v>0</v>
      </c>
      <c r="E239" s="92" t="str">
        <v/>
      </c>
      <c r="F239" s="92">
        <v>0</v>
      </c>
      <c r="G239" s="92">
        <v>0</v>
      </c>
      <c r="H239" s="91">
        <v>0</v>
      </c>
      <c r="I239" s="91">
        <v>0</v>
      </c>
      <c r="J239" s="93">
        <v>0</v>
      </c>
      <c r="K239" s="93">
        <v>0</v>
      </c>
      <c r="L239" s="93">
        <v>0</v>
      </c>
      <c r="M239" s="93">
        <v>0</v>
      </c>
      <c r="N239" s="94">
        <v>0</v>
      </c>
      <c r="O239" s="94">
        <v>0</v>
      </c>
      <c r="P239" s="93">
        <v>0</v>
      </c>
      <c r="Q239" s="92">
        <v>0</v>
      </c>
    </row>
    <row r="240" spans="2:17" x14ac:dyDescent="0.25">
      <c r="B240" s="92" t="str">
        <v>BLDG 1135</v>
      </c>
      <c r="C240" s="90" t="str">
        <v>4th Floor</v>
      </c>
      <c r="D240" s="91">
        <v>0</v>
      </c>
      <c r="E240" s="92" t="str">
        <v>PRE</v>
      </c>
      <c r="F240" s="92" t="str">
        <v>4-14</v>
      </c>
      <c r="G240" s="92" t="str">
        <v>ZLP Pleat</v>
      </c>
      <c r="H240" s="91">
        <v>0</v>
      </c>
      <c r="I240" s="91">
        <v>0</v>
      </c>
      <c r="J240" s="93" t="str">
        <v>16x25x2</v>
      </c>
      <c r="K240" s="93">
        <v>1</v>
      </c>
      <c r="L240" s="93" t="str">
        <v>180 Days</v>
      </c>
      <c r="M240" s="93">
        <v>28177</v>
      </c>
      <c r="N240" s="94">
        <v>46035</v>
      </c>
      <c r="O240" s="94">
        <v>46215</v>
      </c>
      <c r="P240" s="93">
        <v>28177</v>
      </c>
      <c r="Q240" s="92">
        <v>0</v>
      </c>
    </row>
    <row r="241" spans="2:17" x14ac:dyDescent="0.25">
      <c r="B241" s="92" t="str">
        <v>BLDG 1135</v>
      </c>
      <c r="C241" s="90" t="str">
        <v>4th Floor</v>
      </c>
      <c r="D241" s="91">
        <v>0</v>
      </c>
      <c r="E241" s="92" t="str">
        <v>FINAL</v>
      </c>
      <c r="F241" s="92" t="str">
        <v>4-14</v>
      </c>
      <c r="G241" s="92" t="str">
        <v>ZPS Box Filter DH</v>
      </c>
      <c r="H241" s="91">
        <v>0</v>
      </c>
      <c r="I241" s="91">
        <v>0</v>
      </c>
      <c r="J241" s="93" t="str">
        <v>16x25x12</v>
      </c>
      <c r="K241" s="93">
        <v>1</v>
      </c>
      <c r="L241" s="93" t="str">
        <v>365 Days</v>
      </c>
      <c r="M241" s="93">
        <v>11308</v>
      </c>
      <c r="N241" s="94">
        <v>45887</v>
      </c>
      <c r="O241" s="94">
        <v>46252</v>
      </c>
      <c r="P241" s="93">
        <v>0</v>
      </c>
      <c r="Q241" s="92">
        <v>0</v>
      </c>
    </row>
    <row r="242" spans="2:17" x14ac:dyDescent="0.25">
      <c r="B242" s="92">
        <v>0</v>
      </c>
      <c r="C242" s="90">
        <v>0</v>
      </c>
      <c r="D242" s="91">
        <v>0</v>
      </c>
      <c r="E242" s="92" t="str">
        <v/>
      </c>
      <c r="F242" s="92">
        <v>0</v>
      </c>
      <c r="G242" s="92">
        <v>0</v>
      </c>
      <c r="H242" s="91">
        <v>0</v>
      </c>
      <c r="I242" s="91">
        <v>0</v>
      </c>
      <c r="J242" s="93">
        <v>0</v>
      </c>
      <c r="K242" s="93">
        <v>0</v>
      </c>
      <c r="L242" s="93">
        <v>0</v>
      </c>
      <c r="M242" s="93">
        <v>0</v>
      </c>
      <c r="N242" s="94">
        <v>0</v>
      </c>
      <c r="O242" s="94">
        <v>0</v>
      </c>
      <c r="P242" s="93">
        <v>0</v>
      </c>
      <c r="Q242" s="92">
        <v>0</v>
      </c>
    </row>
    <row r="243" spans="2:17" x14ac:dyDescent="0.25">
      <c r="B243" s="92" t="str">
        <v>BLDG 1135</v>
      </c>
      <c r="C243" s="90" t="str">
        <v>4th Floor</v>
      </c>
      <c r="D243" s="91">
        <v>0</v>
      </c>
      <c r="E243" s="92" t="str">
        <v>PRE</v>
      </c>
      <c r="F243" s="92" t="str">
        <v>4-15</v>
      </c>
      <c r="G243" s="92" t="str">
        <v>ZLP Pleat</v>
      </c>
      <c r="H243" s="91">
        <v>0</v>
      </c>
      <c r="I243" s="91">
        <v>0</v>
      </c>
      <c r="J243" s="93" t="str">
        <v>16x25x2</v>
      </c>
      <c r="K243" s="93">
        <v>1</v>
      </c>
      <c r="L243" s="93" t="str">
        <v>180 Days</v>
      </c>
      <c r="M243" s="93">
        <v>28177</v>
      </c>
      <c r="N243" s="94">
        <v>46035</v>
      </c>
      <c r="O243" s="94">
        <v>46215</v>
      </c>
      <c r="P243" s="93">
        <v>28177</v>
      </c>
      <c r="Q243" s="92">
        <v>0</v>
      </c>
    </row>
    <row r="244" spans="2:17" x14ac:dyDescent="0.25">
      <c r="B244" s="92" t="str">
        <v>BLDG 1135</v>
      </c>
      <c r="C244" s="90" t="str">
        <v>4th Floor</v>
      </c>
      <c r="D244" s="91">
        <v>0</v>
      </c>
      <c r="E244" s="92" t="str">
        <v>FINAL</v>
      </c>
      <c r="F244" s="92" t="str">
        <v>4-15</v>
      </c>
      <c r="G244" s="92" t="str">
        <v>ZPS Box Filter DH</v>
      </c>
      <c r="H244" s="91">
        <v>0</v>
      </c>
      <c r="I244" s="91">
        <v>0</v>
      </c>
      <c r="J244" s="93" t="str">
        <v>16x25x12</v>
      </c>
      <c r="K244" s="93">
        <v>1</v>
      </c>
      <c r="L244" s="93" t="str">
        <v>365 Days</v>
      </c>
      <c r="M244" s="93">
        <v>11308</v>
      </c>
      <c r="N244" s="94">
        <v>45887</v>
      </c>
      <c r="O244" s="94">
        <v>46252</v>
      </c>
      <c r="P244" s="93">
        <v>0</v>
      </c>
      <c r="Q244" s="92">
        <v>0</v>
      </c>
    </row>
    <row r="245" spans="2:17" x14ac:dyDescent="0.25">
      <c r="B245" s="92">
        <v>0</v>
      </c>
      <c r="C245" s="90">
        <v>0</v>
      </c>
      <c r="D245" s="91">
        <v>0</v>
      </c>
      <c r="E245" s="92" t="str">
        <v/>
      </c>
      <c r="F245" s="92">
        <v>0</v>
      </c>
      <c r="G245" s="92">
        <v>0</v>
      </c>
      <c r="H245" s="91">
        <v>0</v>
      </c>
      <c r="I245" s="91">
        <v>0</v>
      </c>
      <c r="J245" s="93">
        <v>0</v>
      </c>
      <c r="K245" s="93">
        <v>0</v>
      </c>
      <c r="L245" s="93">
        <v>0</v>
      </c>
      <c r="M245" s="93">
        <v>0</v>
      </c>
      <c r="N245" s="94">
        <v>0</v>
      </c>
      <c r="O245" s="94">
        <v>0</v>
      </c>
      <c r="P245" s="93">
        <v>0</v>
      </c>
      <c r="Q245" s="92">
        <v>0</v>
      </c>
    </row>
    <row r="246" spans="2:17" x14ac:dyDescent="0.25">
      <c r="B246" s="92" t="str">
        <v>BLDG 1135</v>
      </c>
      <c r="C246" s="90" t="str">
        <v>4th Floor</v>
      </c>
      <c r="D246" s="91">
        <v>0</v>
      </c>
      <c r="E246" s="92" t="str">
        <v>PRE</v>
      </c>
      <c r="F246" s="92" t="str">
        <v>4-16</v>
      </c>
      <c r="G246" s="92" t="str">
        <v>ZLP Pleat</v>
      </c>
      <c r="H246" s="91">
        <v>0</v>
      </c>
      <c r="I246" s="91">
        <v>0</v>
      </c>
      <c r="J246" s="93" t="str">
        <v>16x25x2</v>
      </c>
      <c r="K246" s="93">
        <v>1</v>
      </c>
      <c r="L246" s="93" t="str">
        <v>180 Days</v>
      </c>
      <c r="M246" s="93">
        <v>28177</v>
      </c>
      <c r="N246" s="94">
        <v>46035</v>
      </c>
      <c r="O246" s="94">
        <v>46215</v>
      </c>
      <c r="P246" s="93">
        <v>28177</v>
      </c>
      <c r="Q246" s="92">
        <v>0</v>
      </c>
    </row>
    <row r="247" spans="2:17" x14ac:dyDescent="0.25">
      <c r="B247" s="92" t="str">
        <v>BLDG 1135</v>
      </c>
      <c r="C247" s="90" t="str">
        <v>4th Floor</v>
      </c>
      <c r="D247" s="91">
        <v>0</v>
      </c>
      <c r="E247" s="92" t="str">
        <v>FINAL</v>
      </c>
      <c r="F247" s="92" t="str">
        <v>4-16</v>
      </c>
      <c r="G247" s="92" t="str">
        <v>ZPS Box Filter DH</v>
      </c>
      <c r="H247" s="91">
        <v>0</v>
      </c>
      <c r="I247" s="91">
        <v>0</v>
      </c>
      <c r="J247" s="93" t="str">
        <v>16x25x12</v>
      </c>
      <c r="K247" s="93">
        <v>1</v>
      </c>
      <c r="L247" s="93" t="str">
        <v>365 Days</v>
      </c>
      <c r="M247" s="93">
        <v>11308</v>
      </c>
      <c r="N247" s="94">
        <v>45887</v>
      </c>
      <c r="O247" s="94">
        <v>46252</v>
      </c>
      <c r="P247" s="93">
        <v>0</v>
      </c>
      <c r="Q247" s="92">
        <v>0</v>
      </c>
    </row>
    <row r="248" spans="2:17" x14ac:dyDescent="0.25">
      <c r="B248" s="92">
        <v>0</v>
      </c>
      <c r="C248" s="90">
        <v>0</v>
      </c>
      <c r="D248" s="91">
        <v>0</v>
      </c>
      <c r="E248" s="92" t="str">
        <v/>
      </c>
      <c r="F248" s="92">
        <v>0</v>
      </c>
      <c r="G248" s="92">
        <v>0</v>
      </c>
      <c r="H248" s="91">
        <v>0</v>
      </c>
      <c r="I248" s="91">
        <v>0</v>
      </c>
      <c r="J248" s="93">
        <v>0</v>
      </c>
      <c r="K248" s="93">
        <v>0</v>
      </c>
      <c r="L248" s="93">
        <v>0</v>
      </c>
      <c r="M248" s="93">
        <v>0</v>
      </c>
      <c r="N248" s="94">
        <v>0</v>
      </c>
      <c r="O248" s="94">
        <v>0</v>
      </c>
      <c r="P248" s="93">
        <v>0</v>
      </c>
      <c r="Q248" s="92">
        <v>0</v>
      </c>
    </row>
    <row r="249" spans="2:17" x14ac:dyDescent="0.25">
      <c r="B249" s="92" t="str">
        <v>BLDG 1135</v>
      </c>
      <c r="C249" s="90" t="str">
        <v>4th Floor</v>
      </c>
      <c r="D249" s="91">
        <v>0</v>
      </c>
      <c r="E249" s="92" t="str">
        <v>PRE</v>
      </c>
      <c r="F249" s="92" t="str">
        <v>4-17</v>
      </c>
      <c r="G249" s="92" t="str">
        <v>ZLP Pleat</v>
      </c>
      <c r="H249" s="91">
        <v>0</v>
      </c>
      <c r="I249" s="91">
        <v>0</v>
      </c>
      <c r="J249" s="93" t="str">
        <v>16x25x2</v>
      </c>
      <c r="K249" s="93">
        <v>1</v>
      </c>
      <c r="L249" s="93" t="str">
        <v>180 Days</v>
      </c>
      <c r="M249" s="93">
        <v>28177</v>
      </c>
      <c r="N249" s="94">
        <v>46035</v>
      </c>
      <c r="O249" s="94">
        <v>46215</v>
      </c>
      <c r="P249" s="93">
        <v>28177</v>
      </c>
      <c r="Q249" s="92">
        <v>0</v>
      </c>
    </row>
    <row r="250" spans="2:17" x14ac:dyDescent="0.25">
      <c r="B250" s="92" t="str">
        <v>BLDG 1135</v>
      </c>
      <c r="C250" s="90" t="str">
        <v>4th Floor</v>
      </c>
      <c r="D250" s="91">
        <v>0</v>
      </c>
      <c r="E250" s="92" t="str">
        <v>FINAL</v>
      </c>
      <c r="F250" s="92" t="str">
        <v>4-17</v>
      </c>
      <c r="G250" s="92" t="str">
        <v>ZPS Box Filter DH</v>
      </c>
      <c r="H250" s="91">
        <v>0</v>
      </c>
      <c r="I250" s="91">
        <v>0</v>
      </c>
      <c r="J250" s="93" t="str">
        <v>16x25x12</v>
      </c>
      <c r="K250" s="93">
        <v>1</v>
      </c>
      <c r="L250" s="93" t="str">
        <v>365 Days</v>
      </c>
      <c r="M250" s="93">
        <v>11308</v>
      </c>
      <c r="N250" s="94">
        <v>45887</v>
      </c>
      <c r="O250" s="94">
        <v>46252</v>
      </c>
      <c r="P250" s="93">
        <v>0</v>
      </c>
      <c r="Q250" s="92">
        <v>0</v>
      </c>
    </row>
    <row r="251" spans="2:17" x14ac:dyDescent="0.25">
      <c r="B251" s="92">
        <v>0</v>
      </c>
      <c r="C251" s="90">
        <v>0</v>
      </c>
      <c r="D251" s="91">
        <v>0</v>
      </c>
      <c r="E251" s="92" t="str">
        <v/>
      </c>
      <c r="F251" s="92">
        <v>0</v>
      </c>
      <c r="G251" s="92">
        <v>0</v>
      </c>
      <c r="H251" s="91">
        <v>0</v>
      </c>
      <c r="I251" s="91">
        <v>0</v>
      </c>
      <c r="J251" s="93" t="str">
        <v>pres</v>
      </c>
      <c r="K251" s="93">
        <v>16</v>
      </c>
      <c r="L251" s="93">
        <v>0</v>
      </c>
      <c r="M251" s="93">
        <v>0</v>
      </c>
      <c r="N251" s="94">
        <v>0</v>
      </c>
      <c r="O251" s="94">
        <v>0</v>
      </c>
      <c r="P251" s="93">
        <v>0</v>
      </c>
      <c r="Q251" s="92">
        <v>0</v>
      </c>
    </row>
    <row r="252" spans="2:17" x14ac:dyDescent="0.25">
      <c r="B252" s="92" t="str">
        <v>BLDG 1135</v>
      </c>
      <c r="C252" s="90" t="str">
        <v>4th Floor</v>
      </c>
      <c r="D252" s="91">
        <v>0</v>
      </c>
      <c r="E252" s="92" t="str">
        <v>PRE</v>
      </c>
      <c r="F252" s="92" t="str">
        <v>4-19</v>
      </c>
      <c r="G252" s="92" t="str">
        <v>ZLP Pleat</v>
      </c>
      <c r="H252" s="91">
        <v>0</v>
      </c>
      <c r="I252" s="91">
        <v>0</v>
      </c>
      <c r="J252" s="93" t="str">
        <v>16x25x2</v>
      </c>
      <c r="K252" s="93">
        <v>2</v>
      </c>
      <c r="L252" s="93" t="str">
        <v>180 Days</v>
      </c>
      <c r="M252" s="93">
        <v>28177</v>
      </c>
      <c r="N252" s="94">
        <v>46035</v>
      </c>
      <c r="O252" s="94">
        <v>46215</v>
      </c>
      <c r="P252" s="93">
        <v>28177</v>
      </c>
      <c r="Q252" s="92">
        <v>0</v>
      </c>
    </row>
    <row r="253" spans="2:17" x14ac:dyDescent="0.25">
      <c r="B253" s="92" t="str">
        <v>BLDG 1135</v>
      </c>
      <c r="C253" s="90" t="str">
        <v>4th Floor</v>
      </c>
      <c r="D253" s="91">
        <v>0</v>
      </c>
      <c r="E253" s="92" t="str">
        <v>FINAL</v>
      </c>
      <c r="F253" s="92" t="str">
        <v>4-19</v>
      </c>
      <c r="G253" s="92" t="str">
        <v>ZPS Box Filter DH</v>
      </c>
      <c r="H253" s="91">
        <v>0</v>
      </c>
      <c r="I253" s="91">
        <v>0</v>
      </c>
      <c r="J253" s="93" t="str">
        <v>16x25x12</v>
      </c>
      <c r="K253" s="93">
        <v>2</v>
      </c>
      <c r="L253" s="93" t="str">
        <v>365 Days</v>
      </c>
      <c r="M253" s="93">
        <v>11308</v>
      </c>
      <c r="N253" s="94">
        <v>45887</v>
      </c>
      <c r="O253" s="94">
        <v>46252</v>
      </c>
      <c r="P253" s="93">
        <v>0</v>
      </c>
      <c r="Q253" s="92">
        <v>0</v>
      </c>
    </row>
    <row r="254" spans="2:17" x14ac:dyDescent="0.25">
      <c r="B254" s="92">
        <v>0</v>
      </c>
      <c r="C254" s="90">
        <v>0</v>
      </c>
      <c r="D254" s="91">
        <v>0</v>
      </c>
      <c r="E254" s="92" t="str">
        <v/>
      </c>
      <c r="F254" s="92">
        <v>0</v>
      </c>
      <c r="G254" s="92">
        <v>0</v>
      </c>
      <c r="H254" s="91">
        <v>0</v>
      </c>
      <c r="I254" s="91">
        <v>0</v>
      </c>
      <c r="J254" s="93">
        <v>0</v>
      </c>
      <c r="K254" s="93">
        <v>0</v>
      </c>
      <c r="L254" s="93">
        <v>0</v>
      </c>
      <c r="M254" s="93">
        <v>0</v>
      </c>
      <c r="N254" s="94">
        <v>0</v>
      </c>
      <c r="O254" s="94">
        <v>0</v>
      </c>
      <c r="P254" s="93">
        <v>0</v>
      </c>
      <c r="Q254" s="92">
        <v>0</v>
      </c>
    </row>
    <row r="255" spans="2:17" x14ac:dyDescent="0.25">
      <c r="B255" s="92" t="str">
        <v>BLDG 1135</v>
      </c>
      <c r="C255" s="90" t="str">
        <v>4th Floor</v>
      </c>
      <c r="D255" s="91">
        <v>0</v>
      </c>
      <c r="E255" s="92" t="str">
        <v>PRE</v>
      </c>
      <c r="F255" s="92" t="str">
        <v>4-20</v>
      </c>
      <c r="G255" s="92" t="str">
        <v>ZLP Pleat</v>
      </c>
      <c r="H255" s="91">
        <v>0</v>
      </c>
      <c r="I255" s="91">
        <v>0</v>
      </c>
      <c r="J255" s="93" t="str">
        <v>16x25x2</v>
      </c>
      <c r="K255" s="93">
        <v>1</v>
      </c>
      <c r="L255" s="93" t="str">
        <v>180 Days</v>
      </c>
      <c r="M255" s="93">
        <v>28177</v>
      </c>
      <c r="N255" s="94">
        <v>46035</v>
      </c>
      <c r="O255" s="94">
        <v>46215</v>
      </c>
      <c r="P255" s="93">
        <v>28177</v>
      </c>
      <c r="Q255" s="92">
        <v>0</v>
      </c>
    </row>
    <row r="256" spans="2:17" x14ac:dyDescent="0.25">
      <c r="B256" s="92" t="str">
        <v>BLDG 1135</v>
      </c>
      <c r="C256" s="90" t="str">
        <v>4th Floor</v>
      </c>
      <c r="D256" s="91">
        <v>0</v>
      </c>
      <c r="E256" s="92" t="str">
        <v>FINAL</v>
      </c>
      <c r="F256" s="92" t="str">
        <v>4-20</v>
      </c>
      <c r="G256" s="92" t="str">
        <v>ZPS Box Filter DH</v>
      </c>
      <c r="H256" s="91">
        <v>0</v>
      </c>
      <c r="I256" s="91">
        <v>0</v>
      </c>
      <c r="J256" s="93" t="str">
        <v>16x25x12</v>
      </c>
      <c r="K256" s="93">
        <v>1</v>
      </c>
      <c r="L256" s="93" t="str">
        <v>365 Days</v>
      </c>
      <c r="M256" s="93">
        <v>11308</v>
      </c>
      <c r="N256" s="94">
        <v>45887</v>
      </c>
      <c r="O256" s="94">
        <v>46252</v>
      </c>
      <c r="P256" s="93">
        <v>0</v>
      </c>
      <c r="Q256" s="92">
        <v>0</v>
      </c>
    </row>
    <row r="257" spans="2:23" x14ac:dyDescent="0.25">
      <c r="B257" s="92">
        <v>0</v>
      </c>
      <c r="C257" s="90">
        <v>0</v>
      </c>
      <c r="D257" s="91">
        <v>0</v>
      </c>
      <c r="E257" s="92" t="str">
        <v/>
      </c>
      <c r="F257" s="92">
        <v>0</v>
      </c>
      <c r="G257" s="92">
        <v>0</v>
      </c>
      <c r="H257" s="91">
        <v>0</v>
      </c>
      <c r="I257" s="91">
        <v>0</v>
      </c>
      <c r="J257" s="93">
        <v>0</v>
      </c>
      <c r="K257" s="93">
        <v>0</v>
      </c>
      <c r="L257" s="93">
        <v>0</v>
      </c>
      <c r="M257" s="93">
        <v>0</v>
      </c>
      <c r="N257" s="94">
        <v>0</v>
      </c>
      <c r="O257" s="94">
        <v>0</v>
      </c>
      <c r="P257" s="93">
        <v>0</v>
      </c>
      <c r="Q257" s="92">
        <v>0</v>
      </c>
    </row>
    <row r="258" spans="2:23" x14ac:dyDescent="0.25">
      <c r="B258" s="92" t="str">
        <v>BLDG 1135</v>
      </c>
      <c r="C258" s="90" t="str">
        <v>4th Floor</v>
      </c>
      <c r="D258" s="91">
        <v>0</v>
      </c>
      <c r="E258" s="92" t="str">
        <v>PRE</v>
      </c>
      <c r="F258" s="92" t="str">
        <v>4-22</v>
      </c>
      <c r="G258" s="92" t="str">
        <v>ZLP Pleat</v>
      </c>
      <c r="H258" s="91">
        <v>0</v>
      </c>
      <c r="I258" s="91">
        <v>0</v>
      </c>
      <c r="J258" s="93" t="str">
        <v>16x25x2</v>
      </c>
      <c r="K258" s="93">
        <v>1</v>
      </c>
      <c r="L258" s="93" t="str">
        <v>180 Days</v>
      </c>
      <c r="M258" s="93">
        <v>28177</v>
      </c>
      <c r="N258" s="94">
        <v>46035</v>
      </c>
      <c r="O258" s="94">
        <v>46215</v>
      </c>
      <c r="P258" s="93">
        <v>28177</v>
      </c>
      <c r="Q258" s="92">
        <v>0</v>
      </c>
    </row>
    <row r="259" spans="2:23" x14ac:dyDescent="0.25">
      <c r="B259" s="92" t="str">
        <v>BLDG 1135</v>
      </c>
      <c r="C259" s="90" t="str">
        <v>4th Floor</v>
      </c>
      <c r="D259" s="91">
        <v>0</v>
      </c>
      <c r="E259" s="92" t="str">
        <v>FINAL</v>
      </c>
      <c r="F259" s="92" t="str">
        <v>4-22</v>
      </c>
      <c r="G259" s="92" t="str">
        <v>ZPS Box Filter DH</v>
      </c>
      <c r="H259" s="91">
        <v>0</v>
      </c>
      <c r="I259" s="91">
        <v>0</v>
      </c>
      <c r="J259" s="93" t="str">
        <v>16x25x12</v>
      </c>
      <c r="K259" s="93">
        <v>1</v>
      </c>
      <c r="L259" s="93" t="str">
        <v>365 Days</v>
      </c>
      <c r="M259" s="93">
        <v>11308</v>
      </c>
      <c r="N259" s="94">
        <v>45887</v>
      </c>
      <c r="O259" s="94">
        <v>46252</v>
      </c>
      <c r="P259" s="93">
        <v>0</v>
      </c>
      <c r="Q259" s="92">
        <v>0</v>
      </c>
    </row>
    <row r="260" spans="2:23" x14ac:dyDescent="0.25">
      <c r="B260" s="92">
        <v>0</v>
      </c>
      <c r="C260" s="90">
        <v>0</v>
      </c>
      <c r="D260" s="91">
        <v>0</v>
      </c>
      <c r="E260" s="92" t="str">
        <v/>
      </c>
      <c r="F260" s="92">
        <v>0</v>
      </c>
      <c r="G260" s="92">
        <v>0</v>
      </c>
      <c r="H260" s="91">
        <v>0</v>
      </c>
      <c r="I260" s="91">
        <v>0</v>
      </c>
      <c r="J260" s="93">
        <v>0</v>
      </c>
      <c r="K260" s="93">
        <v>0</v>
      </c>
      <c r="L260" s="93">
        <v>0</v>
      </c>
      <c r="M260" s="93">
        <v>0</v>
      </c>
      <c r="N260" s="94">
        <v>0</v>
      </c>
      <c r="O260" s="94">
        <v>0</v>
      </c>
      <c r="P260" s="93">
        <v>0</v>
      </c>
      <c r="Q260" s="92">
        <v>0</v>
      </c>
    </row>
    <row r="261" spans="2:23" x14ac:dyDescent="0.25">
      <c r="B261" s="92" t="str">
        <v>BLDG 1135</v>
      </c>
      <c r="C261" s="90" t="str">
        <v>4th Floor</v>
      </c>
      <c r="D261" s="91">
        <v>0</v>
      </c>
      <c r="E261" s="92" t="str">
        <v>PRE</v>
      </c>
      <c r="F261" s="92" t="str">
        <v>4-21</v>
      </c>
      <c r="G261" s="92" t="str">
        <v>ZLP Pleat</v>
      </c>
      <c r="H261" s="91">
        <v>0</v>
      </c>
      <c r="I261" s="91">
        <v>0</v>
      </c>
      <c r="J261" s="93" t="str">
        <v>16x25x2</v>
      </c>
      <c r="K261" s="93">
        <v>1</v>
      </c>
      <c r="L261" s="93" t="str">
        <v>180 Days</v>
      </c>
      <c r="M261" s="93">
        <v>28177</v>
      </c>
      <c r="N261" s="94">
        <v>46035</v>
      </c>
      <c r="O261" s="94">
        <v>46215</v>
      </c>
      <c r="P261" s="93">
        <v>28177</v>
      </c>
      <c r="Q261" s="92">
        <v>0</v>
      </c>
    </row>
    <row r="262" spans="2:23" x14ac:dyDescent="0.25">
      <c r="B262" s="92" t="str">
        <v>BLDG 1135</v>
      </c>
      <c r="C262" s="90" t="str">
        <v>4th Floor</v>
      </c>
      <c r="D262" s="91">
        <v>0</v>
      </c>
      <c r="E262" s="92" t="str">
        <v>FINAL</v>
      </c>
      <c r="F262" s="92" t="str">
        <v>4-21</v>
      </c>
      <c r="G262" s="92" t="str">
        <v>ZPS Box Filter DH</v>
      </c>
      <c r="H262" s="91">
        <v>0</v>
      </c>
      <c r="I262" s="91">
        <v>0</v>
      </c>
      <c r="J262" s="93" t="str">
        <v>16x25x12</v>
      </c>
      <c r="K262" s="93">
        <v>1</v>
      </c>
      <c r="L262" s="93" t="str">
        <v>365 Days</v>
      </c>
      <c r="M262" s="93">
        <v>11308</v>
      </c>
      <c r="N262" s="94">
        <v>45887</v>
      </c>
      <c r="O262" s="94">
        <v>46252</v>
      </c>
      <c r="P262" s="93">
        <v>0</v>
      </c>
      <c r="Q262" s="92">
        <v>0</v>
      </c>
    </row>
    <row r="263" spans="2:23" x14ac:dyDescent="0.25">
      <c r="B263" s="92">
        <v>0</v>
      </c>
      <c r="C263" s="90">
        <v>0</v>
      </c>
      <c r="D263" s="91">
        <v>0</v>
      </c>
      <c r="E263" s="92" t="str">
        <v/>
      </c>
      <c r="F263" s="92">
        <v>0</v>
      </c>
      <c r="G263" s="92">
        <v>0</v>
      </c>
      <c r="H263" s="91">
        <v>0</v>
      </c>
      <c r="I263" s="91">
        <v>0</v>
      </c>
      <c r="J263" s="93">
        <v>0</v>
      </c>
      <c r="K263" s="93">
        <v>0</v>
      </c>
      <c r="L263" s="93">
        <v>0</v>
      </c>
      <c r="M263" s="93">
        <v>0</v>
      </c>
      <c r="N263" s="94">
        <v>0</v>
      </c>
      <c r="O263" s="94">
        <v>0</v>
      </c>
      <c r="P263" s="93">
        <v>0</v>
      </c>
      <c r="Q263" s="92">
        <v>0</v>
      </c>
    </row>
    <row r="264" spans="2:23" x14ac:dyDescent="0.25">
      <c r="B264" s="92" t="str">
        <v>BLDG 1135</v>
      </c>
      <c r="C264" s="90" t="str">
        <v>4th Floor</v>
      </c>
      <c r="D264" s="91">
        <v>0</v>
      </c>
      <c r="E264" s="92" t="str">
        <v>PRE</v>
      </c>
      <c r="F264" s="92" t="str">
        <v>4-18</v>
      </c>
      <c r="G264" s="92" t="str">
        <v>ZLP Pleat</v>
      </c>
      <c r="H264" s="91">
        <v>0</v>
      </c>
      <c r="I264" s="91">
        <v>0</v>
      </c>
      <c r="J264" s="93" t="str">
        <v>16x25x2</v>
      </c>
      <c r="K264" s="93">
        <v>1</v>
      </c>
      <c r="L264" s="93" t="str">
        <v>180 Days</v>
      </c>
      <c r="M264" s="93">
        <v>28177</v>
      </c>
      <c r="N264" s="94">
        <v>46035</v>
      </c>
      <c r="O264" s="94">
        <v>46215</v>
      </c>
      <c r="P264" s="93">
        <v>28177</v>
      </c>
      <c r="Q264" s="92">
        <v>0</v>
      </c>
    </row>
    <row r="265" spans="2:23" x14ac:dyDescent="0.25">
      <c r="B265" s="92" t="str">
        <v>BLDG 1135</v>
      </c>
      <c r="C265" s="90" t="str">
        <v>4th Floor</v>
      </c>
      <c r="D265" s="91">
        <v>0</v>
      </c>
      <c r="E265" s="92" t="str">
        <v>FINAL</v>
      </c>
      <c r="F265" s="92" t="str">
        <v>4-18</v>
      </c>
      <c r="G265" s="92" t="str">
        <v>ZPS Box Filter DH</v>
      </c>
      <c r="H265" s="91">
        <v>0</v>
      </c>
      <c r="I265" s="91">
        <v>0</v>
      </c>
      <c r="J265" s="93" t="str">
        <v>16x25x12</v>
      </c>
      <c r="K265" s="93">
        <v>1</v>
      </c>
      <c r="L265" s="93" t="str">
        <v>365 Days</v>
      </c>
      <c r="M265" s="93">
        <v>11308</v>
      </c>
      <c r="N265" s="94">
        <v>45887</v>
      </c>
      <c r="O265" s="94">
        <v>46252</v>
      </c>
      <c r="P265" s="93">
        <v>0</v>
      </c>
      <c r="Q265" s="92">
        <v>0</v>
      </c>
    </row>
    <row r="266" spans="2:23" x14ac:dyDescent="0.25">
      <c r="B266" s="92">
        <v>0</v>
      </c>
      <c r="C266" s="90">
        <v>0</v>
      </c>
      <c r="D266" s="91">
        <v>0</v>
      </c>
      <c r="E266" s="92" t="str">
        <v/>
      </c>
      <c r="F266" s="92">
        <v>0</v>
      </c>
      <c r="G266" s="92">
        <v>0</v>
      </c>
      <c r="H266" s="91">
        <v>0</v>
      </c>
      <c r="I266" s="91">
        <v>0</v>
      </c>
      <c r="J266" s="93">
        <v>0</v>
      </c>
      <c r="K266" s="93">
        <v>0</v>
      </c>
      <c r="L266" s="93">
        <v>0</v>
      </c>
      <c r="M266" s="93">
        <v>0</v>
      </c>
      <c r="N266" s="94">
        <v>0</v>
      </c>
      <c r="O266" s="94">
        <v>0</v>
      </c>
      <c r="P266" s="93">
        <v>0</v>
      </c>
      <c r="Q266" s="92">
        <v>0</v>
      </c>
    </row>
    <row r="267" spans="2:23" x14ac:dyDescent="0.25">
      <c r="B267" s="92" t="str">
        <v>BLDG 1135</v>
      </c>
      <c r="C267" s="90" t="str">
        <v>4th Floor</v>
      </c>
      <c r="D267" s="91">
        <v>0</v>
      </c>
      <c r="E267" s="92" t="str">
        <v>PRE</v>
      </c>
      <c r="F267" s="92" t="str">
        <v>4-25</v>
      </c>
      <c r="G267" s="92" t="str">
        <v>ZLP Pleat</v>
      </c>
      <c r="H267" s="91">
        <v>0</v>
      </c>
      <c r="I267" s="91">
        <v>0</v>
      </c>
      <c r="J267" s="93" t="str">
        <v>16x20x2</v>
      </c>
      <c r="K267" s="93">
        <v>1</v>
      </c>
      <c r="L267" s="93" t="str">
        <v>180 Days</v>
      </c>
      <c r="M267" s="93">
        <v>28177</v>
      </c>
      <c r="N267" s="94">
        <v>46035</v>
      </c>
      <c r="O267" s="94">
        <v>46215</v>
      </c>
      <c r="P267" s="93">
        <v>28177</v>
      </c>
      <c r="Q267" s="92">
        <v>0</v>
      </c>
    </row>
    <row r="268" spans="2:23" x14ac:dyDescent="0.25">
      <c r="B268" s="92" t="str">
        <v>BLDG 1135</v>
      </c>
      <c r="C268" s="90" t="str">
        <v>4th Floor</v>
      </c>
      <c r="D268" s="91">
        <v>0</v>
      </c>
      <c r="E268" s="92" t="str">
        <v>FINAL</v>
      </c>
      <c r="F268" s="92" t="str">
        <v>4-25</v>
      </c>
      <c r="G268" s="92" t="str">
        <v>ZPS Box Filter DH</v>
      </c>
      <c r="H268" s="91">
        <v>0</v>
      </c>
      <c r="I268" s="91">
        <v>0</v>
      </c>
      <c r="J268" s="93" t="str">
        <v>16x20x12</v>
      </c>
      <c r="K268" s="93">
        <v>1</v>
      </c>
      <c r="L268" s="93" t="str">
        <v>365 Days</v>
      </c>
      <c r="M268" s="93">
        <v>11308</v>
      </c>
      <c r="N268" s="94">
        <v>45887</v>
      </c>
      <c r="O268" s="94">
        <v>46252</v>
      </c>
      <c r="P268" s="93">
        <v>0</v>
      </c>
      <c r="Q268" s="92">
        <v>0</v>
      </c>
      <c r="R268" s="129"/>
      <c r="S268" s="129"/>
      <c r="T268" s="129"/>
      <c r="U268" s="129"/>
      <c r="V268" s="129"/>
      <c r="W268" s="129"/>
    </row>
    <row r="269" spans="2:23" x14ac:dyDescent="0.25">
      <c r="B269" s="92">
        <v>0</v>
      </c>
      <c r="C269" s="90">
        <v>0</v>
      </c>
      <c r="D269" s="91">
        <v>0</v>
      </c>
      <c r="E269" s="92" t="str">
        <v/>
      </c>
      <c r="F269" s="92">
        <v>0</v>
      </c>
      <c r="G269" s="92">
        <v>0</v>
      </c>
      <c r="H269" s="91">
        <v>0</v>
      </c>
      <c r="I269" s="91">
        <v>0</v>
      </c>
      <c r="J269" s="93">
        <v>0</v>
      </c>
      <c r="K269" s="93">
        <v>0</v>
      </c>
      <c r="L269" s="93">
        <v>0</v>
      </c>
      <c r="M269" s="93">
        <v>0</v>
      </c>
      <c r="N269" s="94">
        <v>0</v>
      </c>
      <c r="O269" s="94">
        <v>0</v>
      </c>
      <c r="P269" s="93">
        <v>0</v>
      </c>
      <c r="Q269" s="92">
        <v>0</v>
      </c>
      <c r="R269" s="129"/>
      <c r="S269" s="129"/>
      <c r="T269" s="129"/>
      <c r="U269" s="129"/>
      <c r="V269" s="129"/>
      <c r="W269" s="129"/>
    </row>
    <row r="270" spans="2:23" x14ac:dyDescent="0.25">
      <c r="B270" s="92" t="str">
        <v>BLDG 1135</v>
      </c>
      <c r="C270" s="90" t="str">
        <v>4th Floor</v>
      </c>
      <c r="D270" s="91">
        <v>0</v>
      </c>
      <c r="E270" s="92" t="str">
        <v>PRE</v>
      </c>
      <c r="F270" s="92" t="str">
        <v>4-26</v>
      </c>
      <c r="G270" s="92" t="str">
        <v>ZLP Pleat</v>
      </c>
      <c r="H270" s="91">
        <v>0</v>
      </c>
      <c r="I270" s="91">
        <v>0</v>
      </c>
      <c r="J270" s="93" t="str">
        <v>16x25x2</v>
      </c>
      <c r="K270" s="93">
        <v>1</v>
      </c>
      <c r="L270" s="93" t="str">
        <v>180 Days</v>
      </c>
      <c r="M270" s="93">
        <v>28177</v>
      </c>
      <c r="N270" s="94">
        <v>46035</v>
      </c>
      <c r="O270" s="94">
        <v>46215</v>
      </c>
      <c r="P270" s="93">
        <v>28177</v>
      </c>
      <c r="Q270" s="92">
        <v>0</v>
      </c>
    </row>
    <row r="271" spans="2:23" x14ac:dyDescent="0.25">
      <c r="B271" s="92" t="str">
        <v>BLDG 1135</v>
      </c>
      <c r="C271" s="90" t="str">
        <v>4th Floor</v>
      </c>
      <c r="D271" s="91">
        <v>0</v>
      </c>
      <c r="E271" s="92" t="str">
        <v>FINAL</v>
      </c>
      <c r="F271" s="92" t="str">
        <v>4-26</v>
      </c>
      <c r="G271" s="92" t="str">
        <v>ZPS Box Filter DH</v>
      </c>
      <c r="H271" s="91">
        <v>0</v>
      </c>
      <c r="I271" s="91">
        <v>0</v>
      </c>
      <c r="J271" s="93" t="str">
        <v>16x25x12</v>
      </c>
      <c r="K271" s="93">
        <v>1</v>
      </c>
      <c r="L271" s="93" t="str">
        <v>365 Days</v>
      </c>
      <c r="M271" s="93">
        <v>11308</v>
      </c>
      <c r="N271" s="94">
        <v>45887</v>
      </c>
      <c r="O271" s="94">
        <v>46252</v>
      </c>
      <c r="P271" s="93">
        <v>0</v>
      </c>
      <c r="Q271" s="92">
        <v>0</v>
      </c>
    </row>
    <row r="272" spans="2:23" x14ac:dyDescent="0.25">
      <c r="B272" s="92">
        <v>0</v>
      </c>
      <c r="C272" s="90">
        <v>0</v>
      </c>
      <c r="D272" s="91">
        <v>0</v>
      </c>
      <c r="E272" s="92" t="str">
        <v/>
      </c>
      <c r="F272" s="92">
        <v>0</v>
      </c>
      <c r="G272" s="92">
        <v>0</v>
      </c>
      <c r="H272" s="91">
        <v>0</v>
      </c>
      <c r="I272" s="91">
        <v>0</v>
      </c>
      <c r="J272" s="93">
        <v>0</v>
      </c>
      <c r="K272" s="93">
        <v>0</v>
      </c>
      <c r="L272" s="93">
        <v>0</v>
      </c>
      <c r="M272" s="93">
        <v>0</v>
      </c>
      <c r="N272" s="94">
        <v>0</v>
      </c>
      <c r="O272" s="94">
        <v>0</v>
      </c>
      <c r="P272" s="93">
        <v>0</v>
      </c>
      <c r="Q272" s="92">
        <v>0</v>
      </c>
    </row>
    <row r="273" spans="2:17" x14ac:dyDescent="0.25">
      <c r="B273" s="92" t="str">
        <v>BLDG 1135</v>
      </c>
      <c r="C273" s="90" t="str">
        <v>4th Floor</v>
      </c>
      <c r="D273" s="91">
        <v>0</v>
      </c>
      <c r="E273" s="92" t="str">
        <v>PRE</v>
      </c>
      <c r="F273" s="92" t="str">
        <v>4-27</v>
      </c>
      <c r="G273" s="92" t="str">
        <v>ZLP Pleat</v>
      </c>
      <c r="H273" s="91">
        <v>0</v>
      </c>
      <c r="I273" s="91">
        <v>0</v>
      </c>
      <c r="J273" s="93" t="str">
        <v>16x25x2</v>
      </c>
      <c r="K273" s="93">
        <v>1</v>
      </c>
      <c r="L273" s="93" t="str">
        <v>180 Days</v>
      </c>
      <c r="M273" s="93">
        <v>28177</v>
      </c>
      <c r="N273" s="94">
        <v>46035</v>
      </c>
      <c r="O273" s="94">
        <v>46215</v>
      </c>
      <c r="P273" s="93">
        <v>28177</v>
      </c>
      <c r="Q273" s="92">
        <v>0</v>
      </c>
    </row>
    <row r="274" spans="2:17" x14ac:dyDescent="0.25">
      <c r="B274" s="92" t="str">
        <v>BLDG 1135</v>
      </c>
      <c r="C274" s="90" t="str">
        <v>4th Floor</v>
      </c>
      <c r="D274" s="91">
        <v>0</v>
      </c>
      <c r="E274" s="92" t="str">
        <v>FINAL</v>
      </c>
      <c r="F274" s="92" t="str">
        <v>4-27</v>
      </c>
      <c r="G274" s="92" t="str">
        <v>ZPS Box Filter DH</v>
      </c>
      <c r="H274" s="91">
        <v>0</v>
      </c>
      <c r="I274" s="91">
        <v>0</v>
      </c>
      <c r="J274" s="93" t="str">
        <v>16x25x12</v>
      </c>
      <c r="K274" s="93">
        <v>1</v>
      </c>
      <c r="L274" s="93" t="str">
        <v>365 Days</v>
      </c>
      <c r="M274" s="93">
        <v>11308</v>
      </c>
      <c r="N274" s="94">
        <v>45887</v>
      </c>
      <c r="O274" s="94">
        <v>46252</v>
      </c>
      <c r="P274" s="93">
        <v>0</v>
      </c>
      <c r="Q274" s="92">
        <v>0</v>
      </c>
    </row>
    <row r="275" spans="2:17" x14ac:dyDescent="0.25">
      <c r="B275" s="92">
        <v>0</v>
      </c>
      <c r="C275" s="90">
        <v>0</v>
      </c>
      <c r="D275" s="91">
        <v>0</v>
      </c>
      <c r="E275" s="92" t="str">
        <v/>
      </c>
      <c r="F275" s="92">
        <v>0</v>
      </c>
      <c r="G275" s="92">
        <v>0</v>
      </c>
      <c r="H275" s="91">
        <v>0</v>
      </c>
      <c r="I275" s="91">
        <v>0</v>
      </c>
      <c r="J275" s="93">
        <v>0</v>
      </c>
      <c r="K275" s="93">
        <v>0</v>
      </c>
      <c r="L275" s="93">
        <v>0</v>
      </c>
      <c r="M275" s="93">
        <v>0</v>
      </c>
      <c r="N275" s="94">
        <v>0</v>
      </c>
      <c r="O275" s="94">
        <v>0</v>
      </c>
      <c r="P275" s="93">
        <v>0</v>
      </c>
      <c r="Q275" s="92">
        <v>0</v>
      </c>
    </row>
    <row r="276" spans="2:17" x14ac:dyDescent="0.25">
      <c r="B276" s="92" t="str">
        <v>BLDG 1135</v>
      </c>
      <c r="C276" s="90" t="str">
        <v>4th Floor</v>
      </c>
      <c r="D276" s="91">
        <v>0</v>
      </c>
      <c r="E276" s="92" t="str">
        <v>PRE</v>
      </c>
      <c r="F276" s="92" t="str">
        <v>4-28</v>
      </c>
      <c r="G276" s="92" t="str">
        <v>ZLP Pleat</v>
      </c>
      <c r="H276" s="91">
        <v>0</v>
      </c>
      <c r="I276" s="91">
        <v>0</v>
      </c>
      <c r="J276" s="93" t="str">
        <v>16x25x2</v>
      </c>
      <c r="K276" s="93">
        <v>1</v>
      </c>
      <c r="L276" s="93" t="str">
        <v>180 Days</v>
      </c>
      <c r="M276" s="93">
        <v>28177</v>
      </c>
      <c r="N276" s="94">
        <v>46035</v>
      </c>
      <c r="O276" s="94">
        <v>46215</v>
      </c>
      <c r="P276" s="93">
        <v>28177</v>
      </c>
      <c r="Q276" s="92">
        <v>0</v>
      </c>
    </row>
    <row r="277" spans="2:17" x14ac:dyDescent="0.25">
      <c r="B277" s="92" t="str">
        <v>BLDG 1135</v>
      </c>
      <c r="C277" s="90" t="str">
        <v>4th Floor</v>
      </c>
      <c r="D277" s="91">
        <v>0</v>
      </c>
      <c r="E277" s="92" t="str">
        <v>FINAL</v>
      </c>
      <c r="F277" s="92" t="str">
        <v>4-28</v>
      </c>
      <c r="G277" s="92" t="str">
        <v>ZPS Box Filter DH</v>
      </c>
      <c r="H277" s="91">
        <v>0</v>
      </c>
      <c r="I277" s="91">
        <v>0</v>
      </c>
      <c r="J277" s="93" t="str">
        <v>16x25x12</v>
      </c>
      <c r="K277" s="93">
        <v>1</v>
      </c>
      <c r="L277" s="93" t="str">
        <v>365 Days</v>
      </c>
      <c r="M277" s="93">
        <v>11308</v>
      </c>
      <c r="N277" s="94">
        <v>45887</v>
      </c>
      <c r="O277" s="94">
        <v>46252</v>
      </c>
      <c r="P277" s="93">
        <v>0</v>
      </c>
      <c r="Q277" s="92">
        <v>0</v>
      </c>
    </row>
    <row r="278" spans="2:17" x14ac:dyDescent="0.25">
      <c r="B278" s="92">
        <v>0</v>
      </c>
      <c r="C278" s="90">
        <v>0</v>
      </c>
      <c r="D278" s="91">
        <v>0</v>
      </c>
      <c r="E278" s="92" t="str">
        <v/>
      </c>
      <c r="F278" s="92">
        <v>0</v>
      </c>
      <c r="G278" s="92">
        <v>0</v>
      </c>
      <c r="H278" s="91">
        <v>0</v>
      </c>
      <c r="I278" s="91">
        <v>0</v>
      </c>
      <c r="J278" s="93">
        <v>0</v>
      </c>
      <c r="K278" s="93">
        <v>0</v>
      </c>
      <c r="L278" s="93">
        <v>0</v>
      </c>
      <c r="M278" s="93">
        <v>0</v>
      </c>
      <c r="N278" s="94">
        <v>0</v>
      </c>
      <c r="O278" s="94">
        <v>0</v>
      </c>
      <c r="P278" s="93">
        <v>0</v>
      </c>
      <c r="Q278" s="92">
        <v>0</v>
      </c>
    </row>
    <row r="279" spans="2:17" x14ac:dyDescent="0.25">
      <c r="B279" s="92" t="str">
        <v>BLDG 1135</v>
      </c>
      <c r="C279" s="90" t="str">
        <v>4th Floor</v>
      </c>
      <c r="D279" s="91">
        <v>0</v>
      </c>
      <c r="E279" s="92" t="str">
        <v>PRE</v>
      </c>
      <c r="F279" s="92" t="str">
        <v>4-29</v>
      </c>
      <c r="G279" s="92" t="str">
        <v>ZLP Pleat</v>
      </c>
      <c r="H279" s="91">
        <v>0</v>
      </c>
      <c r="I279" s="91">
        <v>0</v>
      </c>
      <c r="J279" s="93" t="str">
        <v>16x25x2</v>
      </c>
      <c r="K279" s="93">
        <v>1</v>
      </c>
      <c r="L279" s="93" t="str">
        <v>180 Days</v>
      </c>
      <c r="M279" s="93">
        <v>28177</v>
      </c>
      <c r="N279" s="94">
        <v>46035</v>
      </c>
      <c r="O279" s="94">
        <v>46215</v>
      </c>
      <c r="P279" s="93">
        <v>28177</v>
      </c>
      <c r="Q279" s="92">
        <v>0</v>
      </c>
    </row>
    <row r="280" spans="2:17" x14ac:dyDescent="0.25">
      <c r="B280" s="92" t="str">
        <v>BLDG 1135</v>
      </c>
      <c r="C280" s="90" t="str">
        <v>4th Floor</v>
      </c>
      <c r="D280" s="91">
        <v>0</v>
      </c>
      <c r="E280" s="92" t="str">
        <v>FINAL</v>
      </c>
      <c r="F280" s="92" t="str">
        <v>4-29</v>
      </c>
      <c r="G280" s="92" t="str">
        <v>ZPS Box Filter DH</v>
      </c>
      <c r="H280" s="91">
        <v>0</v>
      </c>
      <c r="I280" s="91">
        <v>0</v>
      </c>
      <c r="J280" s="93" t="str">
        <v>16x25x12</v>
      </c>
      <c r="K280" s="93">
        <v>1</v>
      </c>
      <c r="L280" s="93" t="str">
        <v>365 Days</v>
      </c>
      <c r="M280" s="93">
        <v>11308</v>
      </c>
      <c r="N280" s="94">
        <v>45887</v>
      </c>
      <c r="O280" s="94">
        <v>46252</v>
      </c>
      <c r="P280" s="93">
        <v>0</v>
      </c>
      <c r="Q280" s="92">
        <v>0</v>
      </c>
    </row>
    <row r="281" spans="2:17" x14ac:dyDescent="0.25">
      <c r="B281" s="92">
        <v>0</v>
      </c>
      <c r="C281" s="90">
        <v>0</v>
      </c>
      <c r="D281" s="91">
        <v>0</v>
      </c>
      <c r="E281" s="92" t="str">
        <v/>
      </c>
      <c r="F281" s="92">
        <v>0</v>
      </c>
      <c r="G281" s="92">
        <v>0</v>
      </c>
      <c r="H281" s="91">
        <v>0</v>
      </c>
      <c r="I281" s="91">
        <v>0</v>
      </c>
      <c r="J281" s="93">
        <v>0</v>
      </c>
      <c r="K281" s="93">
        <v>0</v>
      </c>
      <c r="L281" s="93">
        <v>0</v>
      </c>
      <c r="M281" s="93">
        <v>0</v>
      </c>
      <c r="N281" s="94">
        <v>0</v>
      </c>
      <c r="O281" s="94">
        <v>0</v>
      </c>
      <c r="P281" s="93">
        <v>0</v>
      </c>
      <c r="Q281" s="92">
        <v>0</v>
      </c>
    </row>
    <row r="282" spans="2:17" x14ac:dyDescent="0.25">
      <c r="B282" s="92" t="str">
        <v>BLDG 1135</v>
      </c>
      <c r="C282" s="90" t="str">
        <v>4th Floor</v>
      </c>
      <c r="D282" s="91">
        <v>0</v>
      </c>
      <c r="E282" s="92" t="str">
        <v>PRE</v>
      </c>
      <c r="F282" s="92" t="str">
        <v>04-30</v>
      </c>
      <c r="G282" s="92" t="str">
        <v>ZLP Pleat</v>
      </c>
      <c r="H282" s="91">
        <v>0</v>
      </c>
      <c r="I282" s="91">
        <v>0</v>
      </c>
      <c r="J282" s="93" t="str">
        <v>16x25x2</v>
      </c>
      <c r="K282" s="93">
        <v>1</v>
      </c>
      <c r="L282" s="93" t="str">
        <v>180 Days</v>
      </c>
      <c r="M282" s="93">
        <v>28177</v>
      </c>
      <c r="N282" s="94">
        <v>46035</v>
      </c>
      <c r="O282" s="94">
        <v>46215</v>
      </c>
      <c r="P282" s="93">
        <v>28177</v>
      </c>
      <c r="Q282" s="92">
        <v>0</v>
      </c>
    </row>
    <row r="283" spans="2:17" x14ac:dyDescent="0.25">
      <c r="B283" s="92" t="str">
        <v>BLDG 1135</v>
      </c>
      <c r="C283" s="90" t="str">
        <v>4th Floor</v>
      </c>
      <c r="D283" s="91">
        <v>0</v>
      </c>
      <c r="E283" s="92" t="str">
        <v>FINAL</v>
      </c>
      <c r="F283" s="92" t="str">
        <v>04-30</v>
      </c>
      <c r="G283" s="92" t="str">
        <v>ZPS Box Filter DH</v>
      </c>
      <c r="H283" s="91">
        <v>0</v>
      </c>
      <c r="I283" s="91">
        <v>0</v>
      </c>
      <c r="J283" s="93" t="str">
        <v>16x25x12</v>
      </c>
      <c r="K283" s="93">
        <v>1</v>
      </c>
      <c r="L283" s="93" t="str">
        <v>365 Days</v>
      </c>
      <c r="M283" s="93">
        <v>11308</v>
      </c>
      <c r="N283" s="94">
        <v>45887</v>
      </c>
      <c r="O283" s="94">
        <v>46252</v>
      </c>
      <c r="P283" s="93">
        <v>0</v>
      </c>
      <c r="Q283" s="92">
        <v>0</v>
      </c>
    </row>
    <row r="284" spans="2:17" x14ac:dyDescent="0.25">
      <c r="B284" s="92">
        <v>0</v>
      </c>
      <c r="C284" s="90">
        <v>0</v>
      </c>
      <c r="D284" s="91">
        <v>0</v>
      </c>
      <c r="E284" s="92" t="str">
        <v/>
      </c>
      <c r="F284" s="92">
        <v>0</v>
      </c>
      <c r="G284" s="92">
        <v>0</v>
      </c>
      <c r="H284" s="91">
        <v>0</v>
      </c>
      <c r="I284" s="91">
        <v>0</v>
      </c>
      <c r="J284" s="93">
        <v>0</v>
      </c>
      <c r="K284" s="93">
        <v>0</v>
      </c>
      <c r="L284" s="93">
        <v>0</v>
      </c>
      <c r="M284" s="93">
        <v>0</v>
      </c>
      <c r="N284" s="94">
        <v>0</v>
      </c>
      <c r="O284" s="94">
        <v>0</v>
      </c>
      <c r="P284" s="93">
        <v>0</v>
      </c>
      <c r="Q284" s="92">
        <v>0</v>
      </c>
    </row>
    <row r="285" spans="2:17" x14ac:dyDescent="0.25">
      <c r="B285" s="92" t="str">
        <v>BLDG 1135</v>
      </c>
      <c r="C285" s="90" t="str">
        <v>4th Floor</v>
      </c>
      <c r="D285" s="91">
        <v>0</v>
      </c>
      <c r="E285" s="92" t="str">
        <v>PRE</v>
      </c>
      <c r="F285" s="92" t="str">
        <v>04-31</v>
      </c>
      <c r="G285" s="92" t="str">
        <v>ZLP Pleat</v>
      </c>
      <c r="H285" s="91">
        <v>0</v>
      </c>
      <c r="I285" s="91">
        <v>0</v>
      </c>
      <c r="J285" s="93" t="str">
        <v>16x20x2</v>
      </c>
      <c r="K285" s="93">
        <v>1</v>
      </c>
      <c r="L285" s="93" t="str">
        <v>180 Days</v>
      </c>
      <c r="M285" s="93">
        <v>28177</v>
      </c>
      <c r="N285" s="94">
        <v>46035</v>
      </c>
      <c r="O285" s="94">
        <v>46215</v>
      </c>
      <c r="P285" s="93">
        <v>28177</v>
      </c>
      <c r="Q285" s="92">
        <v>0</v>
      </c>
    </row>
    <row r="286" spans="2:17" x14ac:dyDescent="0.25">
      <c r="B286" s="92" t="str">
        <v>BLDG 1135</v>
      </c>
      <c r="C286" s="90" t="str">
        <v>4th Floor</v>
      </c>
      <c r="D286" s="91">
        <v>0</v>
      </c>
      <c r="E286" s="92" t="str">
        <v>PRE</v>
      </c>
      <c r="F286" s="92" t="str">
        <v>04-31</v>
      </c>
      <c r="G286" s="92" t="str">
        <v>ZLP Pleat</v>
      </c>
      <c r="H286" s="91">
        <v>0</v>
      </c>
      <c r="I286" s="91">
        <v>0</v>
      </c>
      <c r="J286" s="93" t="str">
        <v>20x20x2</v>
      </c>
      <c r="K286" s="93">
        <v>2</v>
      </c>
      <c r="L286" s="93" t="str">
        <v>180 Days</v>
      </c>
      <c r="M286" s="93">
        <v>28177</v>
      </c>
      <c r="N286" s="94">
        <v>46035</v>
      </c>
      <c r="O286" s="94">
        <v>46215</v>
      </c>
      <c r="P286" s="93">
        <v>28177</v>
      </c>
      <c r="Q286" s="92">
        <v>0</v>
      </c>
    </row>
    <row r="287" spans="2:17" x14ac:dyDescent="0.25">
      <c r="B287" s="92" t="str">
        <v>BLDG 1135</v>
      </c>
      <c r="C287" s="90" t="str">
        <v>4th Floor</v>
      </c>
      <c r="D287" s="91">
        <v>0</v>
      </c>
      <c r="E287" s="92" t="str">
        <v>FINAL</v>
      </c>
      <c r="F287" s="92" t="str">
        <v>04-31</v>
      </c>
      <c r="G287" s="92" t="str">
        <v>ZPS Box Filter DH</v>
      </c>
      <c r="H287" s="91">
        <v>0</v>
      </c>
      <c r="I287" s="91">
        <v>0</v>
      </c>
      <c r="J287" s="93" t="str">
        <v>20x20x12</v>
      </c>
      <c r="K287" s="93">
        <v>2</v>
      </c>
      <c r="L287" s="93" t="str">
        <v>365 Days</v>
      </c>
      <c r="M287" s="93">
        <v>11308</v>
      </c>
      <c r="N287" s="94">
        <v>45887</v>
      </c>
      <c r="O287" s="94">
        <v>46252</v>
      </c>
      <c r="P287" s="93">
        <v>0</v>
      </c>
      <c r="Q287" s="92">
        <v>0</v>
      </c>
    </row>
    <row r="288" spans="2:17" x14ac:dyDescent="0.25">
      <c r="B288" s="92" t="str">
        <v>BLDG 1135</v>
      </c>
      <c r="C288" s="90" t="str">
        <v>4th Floor</v>
      </c>
      <c r="D288" s="91">
        <v>0</v>
      </c>
      <c r="E288" s="92" t="str">
        <v>FINAL</v>
      </c>
      <c r="F288" s="92" t="str">
        <v>04-31</v>
      </c>
      <c r="G288" s="92" t="str">
        <v>ZPS Box Filter DH</v>
      </c>
      <c r="H288" s="91">
        <v>0</v>
      </c>
      <c r="I288" s="91">
        <v>0</v>
      </c>
      <c r="J288" s="93" t="str">
        <v>16x20x12</v>
      </c>
      <c r="K288" s="93">
        <v>1</v>
      </c>
      <c r="L288" s="93" t="str">
        <v>365 Days</v>
      </c>
      <c r="M288" s="93">
        <v>11308</v>
      </c>
      <c r="N288" s="94">
        <v>45887</v>
      </c>
      <c r="O288" s="94">
        <v>46252</v>
      </c>
      <c r="P288" s="93">
        <v>0</v>
      </c>
      <c r="Q288" s="92">
        <v>0</v>
      </c>
    </row>
    <row r="289" spans="2:17" x14ac:dyDescent="0.25">
      <c r="B289" s="92" t="str">
        <v>BLDG 1135</v>
      </c>
      <c r="C289" s="90" t="str">
        <v>4th Floor</v>
      </c>
      <c r="D289" s="91">
        <v>0</v>
      </c>
      <c r="E289" s="92" t="str">
        <v>PRE</v>
      </c>
      <c r="F289" s="92" t="str">
        <v>04-32</v>
      </c>
      <c r="G289" s="92" t="str">
        <v>ZLP Pleat</v>
      </c>
      <c r="H289" s="91">
        <v>0</v>
      </c>
      <c r="I289" s="91">
        <v>0</v>
      </c>
      <c r="J289" s="93" t="str">
        <v>16x25x2</v>
      </c>
      <c r="K289" s="93">
        <v>1</v>
      </c>
      <c r="L289" s="93" t="str">
        <v>180 Days</v>
      </c>
      <c r="M289" s="93">
        <v>28177</v>
      </c>
      <c r="N289" s="94">
        <v>46035</v>
      </c>
      <c r="O289" s="94">
        <v>46215</v>
      </c>
      <c r="P289" s="93">
        <v>28177</v>
      </c>
      <c r="Q289" s="92">
        <v>0</v>
      </c>
    </row>
    <row r="290" spans="2:17" x14ac:dyDescent="0.25">
      <c r="B290" s="92" t="str">
        <v>BLDG 1135</v>
      </c>
      <c r="C290" s="90" t="str">
        <v>4th Floor</v>
      </c>
      <c r="D290" s="91">
        <v>0</v>
      </c>
      <c r="E290" s="92" t="str">
        <v>FINAL</v>
      </c>
      <c r="F290" s="92">
        <v>0</v>
      </c>
      <c r="G290" s="92" t="str">
        <v>ZPS Box Filter DH</v>
      </c>
      <c r="H290" s="91">
        <v>0</v>
      </c>
      <c r="I290" s="91">
        <v>0</v>
      </c>
      <c r="J290" s="93" t="str">
        <v>16x25x12</v>
      </c>
      <c r="K290" s="93">
        <v>1</v>
      </c>
      <c r="L290" s="93" t="str">
        <v>365 Days</v>
      </c>
      <c r="M290" s="93">
        <v>11308</v>
      </c>
      <c r="N290" s="94">
        <v>45887</v>
      </c>
      <c r="O290" s="94">
        <v>46252</v>
      </c>
      <c r="P290" s="93">
        <v>0</v>
      </c>
      <c r="Q290" s="92">
        <v>0</v>
      </c>
    </row>
    <row r="291" spans="2:17" x14ac:dyDescent="0.25">
      <c r="B291" s="92" t="str">
        <v>BLDG 1135</v>
      </c>
      <c r="C291" s="90" t="str">
        <v>4th Floor</v>
      </c>
      <c r="D291" s="91">
        <v>0</v>
      </c>
      <c r="E291" s="92" t="str">
        <v>PRE</v>
      </c>
      <c r="F291" s="92" t="str">
        <v>04-33</v>
      </c>
      <c r="G291" s="92" t="str">
        <v>ZLP Pleat</v>
      </c>
      <c r="H291" s="91">
        <v>0</v>
      </c>
      <c r="I291" s="91">
        <v>0</v>
      </c>
      <c r="J291" s="93" t="str">
        <v>16x25x2</v>
      </c>
      <c r="K291" s="93">
        <v>1</v>
      </c>
      <c r="L291" s="93" t="str">
        <v>180 Days</v>
      </c>
      <c r="M291" s="93">
        <v>28177</v>
      </c>
      <c r="N291" s="94">
        <v>46035</v>
      </c>
      <c r="O291" s="94">
        <v>46215</v>
      </c>
      <c r="P291" s="93">
        <v>28177</v>
      </c>
      <c r="Q291" s="92">
        <v>0</v>
      </c>
    </row>
    <row r="292" spans="2:17" x14ac:dyDescent="0.25">
      <c r="B292" s="92" t="str">
        <v>BLDG 1135</v>
      </c>
      <c r="C292" s="90" t="str">
        <v>4th Floor</v>
      </c>
      <c r="D292" s="91">
        <v>0</v>
      </c>
      <c r="E292" s="92" t="str">
        <v>FINAL</v>
      </c>
      <c r="F292" s="92">
        <v>0</v>
      </c>
      <c r="G292" s="92" t="str">
        <v>ZPS Box Filter DH</v>
      </c>
      <c r="H292" s="91">
        <v>0</v>
      </c>
      <c r="I292" s="91">
        <v>0</v>
      </c>
      <c r="J292" s="93" t="str">
        <v>16x25x12</v>
      </c>
      <c r="K292" s="93">
        <v>1</v>
      </c>
      <c r="L292" s="93" t="str">
        <v>365 Days</v>
      </c>
      <c r="M292" s="93">
        <v>11308</v>
      </c>
      <c r="N292" s="94">
        <v>45887</v>
      </c>
      <c r="O292" s="94">
        <v>46252</v>
      </c>
      <c r="P292" s="93">
        <v>0</v>
      </c>
      <c r="Q292" s="92">
        <v>0</v>
      </c>
    </row>
    <row r="293" spans="2:17" x14ac:dyDescent="0.25">
      <c r="B293" s="92">
        <v>0</v>
      </c>
      <c r="C293" s="90">
        <v>0</v>
      </c>
      <c r="D293" s="91">
        <v>0</v>
      </c>
      <c r="E293" s="92" t="str">
        <v/>
      </c>
      <c r="F293" s="92">
        <v>0</v>
      </c>
      <c r="G293" s="92">
        <v>0</v>
      </c>
      <c r="H293" s="91">
        <v>0</v>
      </c>
      <c r="I293" s="91">
        <v>0</v>
      </c>
      <c r="J293" s="93">
        <v>0</v>
      </c>
      <c r="K293" s="93">
        <v>0</v>
      </c>
      <c r="L293" s="93">
        <v>0</v>
      </c>
      <c r="M293" s="93">
        <v>0</v>
      </c>
      <c r="N293" s="94">
        <v>0</v>
      </c>
      <c r="O293" s="94">
        <v>0</v>
      </c>
      <c r="P293" s="93">
        <v>0</v>
      </c>
      <c r="Q293" s="92">
        <v>0</v>
      </c>
    </row>
    <row r="294" spans="2:17" x14ac:dyDescent="0.25">
      <c r="B294" s="92" t="str">
        <v>BLDG 1135</v>
      </c>
      <c r="C294" s="90" t="str">
        <v>1st Floor</v>
      </c>
      <c r="D294" s="91">
        <v>0</v>
      </c>
      <c r="E294" s="92" t="str">
        <v>PRE</v>
      </c>
      <c r="F294" s="92" t="str">
        <v>AH 1st Floor</v>
      </c>
      <c r="G294" s="92" t="str">
        <v>ZLP Pleat</v>
      </c>
      <c r="H294" s="91">
        <v>0</v>
      </c>
      <c r="I294" s="91">
        <v>0</v>
      </c>
      <c r="J294" s="93" t="str">
        <v>16x20x2</v>
      </c>
      <c r="K294" s="93">
        <v>19</v>
      </c>
      <c r="L294" s="93" t="str">
        <v>90 Days</v>
      </c>
      <c r="M294" s="93">
        <v>28177</v>
      </c>
      <c r="N294" s="94">
        <v>46035</v>
      </c>
      <c r="O294" s="94">
        <v>46125</v>
      </c>
      <c r="P294" s="93">
        <v>28177</v>
      </c>
      <c r="Q294" s="92">
        <v>0</v>
      </c>
    </row>
    <row r="295" spans="2:17" x14ac:dyDescent="0.25">
      <c r="B295" s="92">
        <v>0</v>
      </c>
      <c r="C295" s="90">
        <v>0</v>
      </c>
      <c r="D295" s="91">
        <v>0</v>
      </c>
      <c r="E295" s="92" t="str">
        <v/>
      </c>
      <c r="F295" s="92">
        <v>0</v>
      </c>
      <c r="G295" s="92">
        <v>0</v>
      </c>
      <c r="H295" s="91">
        <v>0</v>
      </c>
      <c r="I295" s="91">
        <v>0</v>
      </c>
      <c r="J295" s="93">
        <v>0</v>
      </c>
      <c r="K295" s="93">
        <v>0</v>
      </c>
      <c r="L295" s="93" t="str">
        <v/>
      </c>
      <c r="M295" s="93">
        <v>0</v>
      </c>
      <c r="N295" s="94">
        <v>0</v>
      </c>
      <c r="O295" s="94" t="str">
        <v/>
      </c>
      <c r="P295" s="93">
        <v>0</v>
      </c>
      <c r="Q295" s="92">
        <v>0</v>
      </c>
    </row>
    <row r="296" spans="2:17" x14ac:dyDescent="0.25">
      <c r="B296" s="92" t="str">
        <v>BLDG 1135</v>
      </c>
      <c r="C296" s="90" t="str">
        <v>2nd Floor</v>
      </c>
      <c r="D296" s="91">
        <v>0</v>
      </c>
      <c r="E296" s="92" t="str">
        <v>PRE</v>
      </c>
      <c r="F296" s="92" t="str">
        <v>AH 2nd Floor</v>
      </c>
      <c r="G296" s="92" t="str">
        <v>ZLP Pleat</v>
      </c>
      <c r="H296" s="91">
        <v>0</v>
      </c>
      <c r="I296" s="91">
        <v>0</v>
      </c>
      <c r="J296" s="93" t="str">
        <v>16x20x2</v>
      </c>
      <c r="K296" s="93">
        <v>19</v>
      </c>
      <c r="L296" s="93" t="str">
        <v>90 Days</v>
      </c>
      <c r="M296" s="93">
        <v>28177</v>
      </c>
      <c r="N296" s="94">
        <v>46035</v>
      </c>
      <c r="O296" s="94">
        <v>46125</v>
      </c>
      <c r="P296" s="93">
        <v>28177</v>
      </c>
      <c r="Q296" s="92">
        <v>0</v>
      </c>
    </row>
    <row r="297" spans="2:17" x14ac:dyDescent="0.25">
      <c r="B297" s="92">
        <v>0</v>
      </c>
      <c r="C297" s="90">
        <v>0</v>
      </c>
      <c r="D297" s="91">
        <v>0</v>
      </c>
      <c r="E297" s="92" t="str">
        <v/>
      </c>
      <c r="F297" s="92">
        <v>0</v>
      </c>
      <c r="G297" s="92">
        <v>0</v>
      </c>
      <c r="H297" s="91">
        <v>0</v>
      </c>
      <c r="I297" s="91">
        <v>0</v>
      </c>
      <c r="J297" s="93">
        <v>0</v>
      </c>
      <c r="K297" s="93">
        <v>0</v>
      </c>
      <c r="L297" s="93" t="str">
        <v/>
      </c>
      <c r="M297" s="93">
        <v>0</v>
      </c>
      <c r="N297" s="94">
        <v>0</v>
      </c>
      <c r="O297" s="94" t="str">
        <v/>
      </c>
      <c r="P297" s="93">
        <v>0</v>
      </c>
      <c r="Q297" s="92">
        <v>0</v>
      </c>
    </row>
    <row r="298" spans="2:17" x14ac:dyDescent="0.25">
      <c r="B298" s="92" t="str">
        <v>BLDG 1135</v>
      </c>
      <c r="C298" s="90" t="str">
        <v>3rd Floor</v>
      </c>
      <c r="D298" s="91">
        <v>0</v>
      </c>
      <c r="E298" s="92" t="str">
        <v>PRE</v>
      </c>
      <c r="F298" s="92" t="str">
        <v>AH 3rd Floor</v>
      </c>
      <c r="G298" s="92" t="str">
        <v>ZLP Pleat</v>
      </c>
      <c r="H298" s="91">
        <v>0</v>
      </c>
      <c r="I298" s="91">
        <v>0</v>
      </c>
      <c r="J298" s="93" t="str">
        <v>16x20x2</v>
      </c>
      <c r="K298" s="93">
        <v>19</v>
      </c>
      <c r="L298" s="93" t="str">
        <v>90 Days</v>
      </c>
      <c r="M298" s="93">
        <v>28177</v>
      </c>
      <c r="N298" s="94">
        <v>46035</v>
      </c>
      <c r="O298" s="94">
        <v>46125</v>
      </c>
      <c r="P298" s="93">
        <v>28177</v>
      </c>
      <c r="Q298" s="92">
        <v>0</v>
      </c>
    </row>
    <row r="299" spans="2:17" x14ac:dyDescent="0.25">
      <c r="B299" s="92">
        <v>0</v>
      </c>
      <c r="C299" s="90">
        <v>0</v>
      </c>
      <c r="D299" s="91">
        <v>0</v>
      </c>
      <c r="E299" s="92" t="str">
        <v/>
      </c>
      <c r="F299" s="92">
        <v>0</v>
      </c>
      <c r="G299" s="92">
        <v>0</v>
      </c>
      <c r="H299" s="91">
        <v>0</v>
      </c>
      <c r="I299" s="91">
        <v>0</v>
      </c>
      <c r="J299" s="93">
        <v>0</v>
      </c>
      <c r="K299" s="93">
        <v>0</v>
      </c>
      <c r="L299" s="93" t="str">
        <v/>
      </c>
      <c r="M299" s="93">
        <v>0</v>
      </c>
      <c r="N299" s="94">
        <v>0</v>
      </c>
      <c r="O299" s="94" t="str">
        <v/>
      </c>
      <c r="P299" s="93">
        <v>0</v>
      </c>
      <c r="Q299" s="92">
        <v>0</v>
      </c>
    </row>
    <row r="300" spans="2:17" x14ac:dyDescent="0.25">
      <c r="B300" s="92" t="str">
        <v>BLDG 1135</v>
      </c>
      <c r="C300" s="90" t="str">
        <v>4th Floor</v>
      </c>
      <c r="D300" s="91">
        <v>0</v>
      </c>
      <c r="E300" s="92" t="str">
        <v>PRE</v>
      </c>
      <c r="F300" s="92" t="str">
        <v>AH 4th Floor</v>
      </c>
      <c r="G300" s="92" t="str">
        <v>ZLP Pleat</v>
      </c>
      <c r="H300" s="91">
        <v>0</v>
      </c>
      <c r="I300" s="91">
        <v>0</v>
      </c>
      <c r="J300" s="93" t="str">
        <v>16x20x2</v>
      </c>
      <c r="K300" s="93">
        <v>19</v>
      </c>
      <c r="L300" s="93" t="str">
        <v>90 Days</v>
      </c>
      <c r="M300" s="93">
        <v>28177</v>
      </c>
      <c r="N300" s="94">
        <v>46035</v>
      </c>
      <c r="O300" s="94">
        <v>46125</v>
      </c>
      <c r="P300" s="93">
        <v>28177</v>
      </c>
      <c r="Q300" s="92">
        <v>0</v>
      </c>
    </row>
    <row r="301" spans="2:17" x14ac:dyDescent="0.25">
      <c r="B301" s="92">
        <v>0</v>
      </c>
      <c r="C301" s="90">
        <v>0</v>
      </c>
      <c r="D301" s="91">
        <v>0</v>
      </c>
      <c r="E301" s="92">
        <v>0</v>
      </c>
      <c r="F301" s="92">
        <v>0</v>
      </c>
      <c r="G301" s="92">
        <v>0</v>
      </c>
      <c r="H301" s="91">
        <v>0</v>
      </c>
      <c r="I301" s="91">
        <v>0</v>
      </c>
      <c r="J301" s="93">
        <v>0</v>
      </c>
      <c r="K301" s="93">
        <v>0</v>
      </c>
      <c r="L301" s="93">
        <v>0</v>
      </c>
      <c r="M301" s="93">
        <v>0</v>
      </c>
      <c r="N301" s="94">
        <v>0</v>
      </c>
      <c r="O301" s="94" t="str">
        <v/>
      </c>
      <c r="P301" s="93">
        <v>0</v>
      </c>
      <c r="Q301" s="92">
        <v>0</v>
      </c>
    </row>
    <row r="302" spans="2:17" x14ac:dyDescent="0.25">
      <c r="B302" s="92">
        <v>0</v>
      </c>
      <c r="C302" s="90">
        <v>0</v>
      </c>
      <c r="D302" s="91">
        <v>0</v>
      </c>
      <c r="E302" s="92">
        <v>0</v>
      </c>
      <c r="F302" s="92">
        <v>0</v>
      </c>
      <c r="G302" s="92">
        <v>0</v>
      </c>
      <c r="H302" s="91">
        <v>0</v>
      </c>
      <c r="I302" s="91">
        <v>0</v>
      </c>
      <c r="J302" s="93">
        <v>0</v>
      </c>
      <c r="K302" s="93">
        <v>0</v>
      </c>
      <c r="L302" s="93">
        <v>0</v>
      </c>
      <c r="M302" s="93">
        <v>0</v>
      </c>
      <c r="N302" s="94">
        <v>0</v>
      </c>
      <c r="O302" s="94" t="str">
        <v/>
      </c>
      <c r="P302" s="93">
        <v>0</v>
      </c>
      <c r="Q302" s="92">
        <v>0</v>
      </c>
    </row>
    <row r="303" spans="2:17" x14ac:dyDescent="0.25">
      <c r="B303" s="92">
        <v>0</v>
      </c>
      <c r="C303" s="90">
        <v>0</v>
      </c>
      <c r="D303" s="91">
        <v>0</v>
      </c>
      <c r="E303" s="92">
        <v>0</v>
      </c>
      <c r="F303" s="92">
        <v>0</v>
      </c>
      <c r="G303" s="92">
        <v>0</v>
      </c>
      <c r="H303" s="91">
        <v>0</v>
      </c>
      <c r="I303" s="91">
        <v>0</v>
      </c>
      <c r="J303" s="93">
        <v>0</v>
      </c>
      <c r="K303" s="93">
        <v>0</v>
      </c>
      <c r="L303" s="93">
        <v>0</v>
      </c>
      <c r="M303" s="93">
        <v>0</v>
      </c>
      <c r="N303" s="94">
        <v>0</v>
      </c>
      <c r="O303" s="94" t="str">
        <v/>
      </c>
      <c r="P303" s="93">
        <v>0</v>
      </c>
      <c r="Q303" s="92">
        <v>0</v>
      </c>
    </row>
    <row r="304" spans="2:17" x14ac:dyDescent="0.25">
      <c r="B304" s="92">
        <v>0</v>
      </c>
      <c r="C304" s="90">
        <v>0</v>
      </c>
      <c r="D304" s="91">
        <v>0</v>
      </c>
      <c r="E304" s="92">
        <v>0</v>
      </c>
      <c r="F304" s="92">
        <v>0</v>
      </c>
      <c r="G304" s="92">
        <v>0</v>
      </c>
      <c r="H304" s="91">
        <v>0</v>
      </c>
      <c r="I304" s="91">
        <v>0</v>
      </c>
      <c r="J304" s="93">
        <v>0</v>
      </c>
      <c r="K304" s="93">
        <v>0</v>
      </c>
      <c r="L304" s="93">
        <v>0</v>
      </c>
      <c r="M304" s="93">
        <v>0</v>
      </c>
      <c r="N304" s="94">
        <v>0</v>
      </c>
      <c r="O304" s="94" t="str">
        <v/>
      </c>
      <c r="P304" s="93">
        <v>0</v>
      </c>
      <c r="Q304" s="92">
        <v>0</v>
      </c>
    </row>
    <row r="305" spans="2:17" x14ac:dyDescent="0.25">
      <c r="B305" s="92">
        <v>0</v>
      </c>
      <c r="C305" s="90">
        <v>0</v>
      </c>
      <c r="D305" s="91">
        <v>0</v>
      </c>
      <c r="E305" s="92">
        <v>0</v>
      </c>
      <c r="F305" s="92">
        <v>0</v>
      </c>
      <c r="G305" s="92">
        <v>0</v>
      </c>
      <c r="H305" s="91">
        <v>0</v>
      </c>
      <c r="I305" s="91">
        <v>0</v>
      </c>
      <c r="J305" s="93">
        <v>0</v>
      </c>
      <c r="K305" s="93">
        <v>0</v>
      </c>
      <c r="L305" s="93">
        <v>0</v>
      </c>
      <c r="M305" s="93">
        <v>0</v>
      </c>
      <c r="N305" s="94">
        <v>0</v>
      </c>
      <c r="O305" s="94" t="str">
        <v/>
      </c>
      <c r="P305" s="93">
        <v>0</v>
      </c>
      <c r="Q305" s="92">
        <v>0</v>
      </c>
    </row>
    <row r="306" spans="2:17" x14ac:dyDescent="0.25">
      <c r="B306" s="92">
        <v>0</v>
      </c>
      <c r="C306" s="90">
        <v>0</v>
      </c>
      <c r="D306" s="91">
        <v>0</v>
      </c>
      <c r="E306" s="92">
        <v>0</v>
      </c>
      <c r="F306" s="92">
        <v>0</v>
      </c>
      <c r="G306" s="92">
        <v>0</v>
      </c>
      <c r="H306" s="91">
        <v>0</v>
      </c>
      <c r="I306" s="91">
        <v>0</v>
      </c>
      <c r="J306" s="93">
        <v>0</v>
      </c>
      <c r="K306" s="93">
        <v>0</v>
      </c>
      <c r="L306" s="93">
        <v>0</v>
      </c>
      <c r="M306" s="93">
        <v>0</v>
      </c>
      <c r="N306" s="94">
        <v>0</v>
      </c>
      <c r="O306" s="94" t="str">
        <v/>
      </c>
      <c r="P306" s="93">
        <v>0</v>
      </c>
      <c r="Q306" s="92">
        <v>0</v>
      </c>
    </row>
    <row r="307" spans="2:17" x14ac:dyDescent="0.25">
      <c r="B307" s="92">
        <v>0</v>
      </c>
      <c r="C307" s="90">
        <v>0</v>
      </c>
      <c r="D307" s="91">
        <v>0</v>
      </c>
      <c r="E307" s="92">
        <v>0</v>
      </c>
      <c r="F307" s="92">
        <v>0</v>
      </c>
      <c r="G307" s="92">
        <v>0</v>
      </c>
      <c r="H307" s="91">
        <v>0</v>
      </c>
      <c r="I307" s="91">
        <v>0</v>
      </c>
      <c r="J307" s="93">
        <v>0</v>
      </c>
      <c r="K307" s="93">
        <v>0</v>
      </c>
      <c r="L307" s="93">
        <v>0</v>
      </c>
      <c r="M307" s="93">
        <v>0</v>
      </c>
      <c r="N307" s="94">
        <v>0</v>
      </c>
      <c r="O307" s="94" t="str">
        <v/>
      </c>
      <c r="P307" s="93">
        <v>0</v>
      </c>
      <c r="Q307" s="92">
        <v>0</v>
      </c>
    </row>
    <row r="308" spans="2:17" x14ac:dyDescent="0.25">
      <c r="B308" s="92">
        <v>0</v>
      </c>
      <c r="C308" s="90">
        <v>0</v>
      </c>
      <c r="D308" s="91">
        <v>0</v>
      </c>
      <c r="E308" s="92">
        <v>0</v>
      </c>
      <c r="F308" s="92">
        <v>0</v>
      </c>
      <c r="G308" s="92">
        <v>0</v>
      </c>
      <c r="H308" s="91">
        <v>0</v>
      </c>
      <c r="I308" s="91">
        <v>0</v>
      </c>
      <c r="J308" s="93">
        <v>0</v>
      </c>
      <c r="K308" s="93">
        <v>0</v>
      </c>
      <c r="L308" s="93">
        <v>0</v>
      </c>
      <c r="M308" s="93">
        <v>0</v>
      </c>
      <c r="N308" s="94">
        <v>0</v>
      </c>
      <c r="O308" s="94" t="str">
        <v/>
      </c>
      <c r="P308" s="93">
        <v>0</v>
      </c>
      <c r="Q308" s="92">
        <v>0</v>
      </c>
    </row>
    <row r="309" spans="2:17" x14ac:dyDescent="0.25">
      <c r="B309" s="92">
        <v>0</v>
      </c>
      <c r="C309" s="90">
        <v>0</v>
      </c>
      <c r="D309" s="91">
        <v>0</v>
      </c>
      <c r="E309" s="92">
        <v>0</v>
      </c>
      <c r="F309" s="92">
        <v>0</v>
      </c>
      <c r="G309" s="92">
        <v>0</v>
      </c>
      <c r="H309" s="91">
        <v>0</v>
      </c>
      <c r="I309" s="91">
        <v>0</v>
      </c>
      <c r="J309" s="93">
        <v>0</v>
      </c>
      <c r="K309" s="93">
        <v>0</v>
      </c>
      <c r="L309" s="93">
        <v>0</v>
      </c>
      <c r="M309" s="93">
        <v>0</v>
      </c>
      <c r="N309" s="94">
        <v>0</v>
      </c>
      <c r="O309" s="94" t="str">
        <v/>
      </c>
      <c r="P309" s="93">
        <v>0</v>
      </c>
      <c r="Q309" s="92">
        <v>0</v>
      </c>
    </row>
    <row r="310" spans="2:17" x14ac:dyDescent="0.25">
      <c r="B310" s="92">
        <v>0</v>
      </c>
      <c r="C310" s="90">
        <v>0</v>
      </c>
      <c r="D310" s="91">
        <v>0</v>
      </c>
      <c r="E310" s="92">
        <v>0</v>
      </c>
      <c r="F310" s="92">
        <v>0</v>
      </c>
      <c r="G310" s="92">
        <v>0</v>
      </c>
      <c r="H310" s="91">
        <v>0</v>
      </c>
      <c r="I310" s="91">
        <v>0</v>
      </c>
      <c r="J310" s="93">
        <v>0</v>
      </c>
      <c r="K310" s="93">
        <v>0</v>
      </c>
      <c r="L310" s="93">
        <v>0</v>
      </c>
      <c r="M310" s="93">
        <v>0</v>
      </c>
      <c r="N310" s="94">
        <v>0</v>
      </c>
      <c r="O310" s="94" t="str">
        <v/>
      </c>
      <c r="P310" s="93">
        <v>0</v>
      </c>
      <c r="Q310" s="92">
        <v>0</v>
      </c>
    </row>
    <row r="311" spans="2:17" x14ac:dyDescent="0.25">
      <c r="B311" s="92">
        <v>0</v>
      </c>
      <c r="C311" s="90">
        <v>0</v>
      </c>
      <c r="D311" s="91">
        <v>0</v>
      </c>
      <c r="E311" s="92">
        <v>0</v>
      </c>
      <c r="F311" s="92">
        <v>0</v>
      </c>
      <c r="G311" s="92">
        <v>0</v>
      </c>
      <c r="H311" s="91">
        <v>0</v>
      </c>
      <c r="I311" s="91">
        <v>0</v>
      </c>
      <c r="J311" s="93">
        <v>0</v>
      </c>
      <c r="K311" s="93">
        <v>0</v>
      </c>
      <c r="L311" s="93">
        <v>0</v>
      </c>
      <c r="M311" s="93">
        <v>0</v>
      </c>
      <c r="N311" s="94">
        <v>0</v>
      </c>
      <c r="O311" s="94" t="str">
        <v/>
      </c>
      <c r="P311" s="93">
        <v>0</v>
      </c>
      <c r="Q311" s="92">
        <v>0</v>
      </c>
    </row>
    <row r="312" spans="2:17" x14ac:dyDescent="0.25">
      <c r="B312" s="92">
        <v>0</v>
      </c>
      <c r="C312" s="90">
        <v>0</v>
      </c>
      <c r="D312" s="91">
        <v>0</v>
      </c>
      <c r="E312" s="92">
        <v>0</v>
      </c>
      <c r="F312" s="92">
        <v>0</v>
      </c>
      <c r="G312" s="92">
        <v>0</v>
      </c>
      <c r="H312" s="91">
        <v>0</v>
      </c>
      <c r="I312" s="91">
        <v>0</v>
      </c>
      <c r="J312" s="93">
        <v>0</v>
      </c>
      <c r="K312" s="93">
        <v>0</v>
      </c>
      <c r="L312" s="93">
        <v>0</v>
      </c>
      <c r="M312" s="93">
        <v>0</v>
      </c>
      <c r="N312" s="94">
        <v>0</v>
      </c>
      <c r="O312" s="94" t="str">
        <v/>
      </c>
      <c r="P312" s="93">
        <v>0</v>
      </c>
      <c r="Q312" s="92">
        <v>0</v>
      </c>
    </row>
    <row r="313" spans="2:17" x14ac:dyDescent="0.25">
      <c r="B313" s="92">
        <v>0</v>
      </c>
      <c r="C313" s="90">
        <v>0</v>
      </c>
      <c r="D313" s="91">
        <v>0</v>
      </c>
      <c r="E313" s="92">
        <v>0</v>
      </c>
      <c r="F313" s="92">
        <v>0</v>
      </c>
      <c r="G313" s="92">
        <v>0</v>
      </c>
      <c r="H313" s="91">
        <v>0</v>
      </c>
      <c r="I313" s="91">
        <v>0</v>
      </c>
      <c r="J313" s="93">
        <v>0</v>
      </c>
      <c r="K313" s="93">
        <v>0</v>
      </c>
      <c r="L313" s="93">
        <v>0</v>
      </c>
      <c r="M313" s="93">
        <v>0</v>
      </c>
      <c r="N313" s="94">
        <v>0</v>
      </c>
      <c r="O313" s="94" t="str">
        <v/>
      </c>
      <c r="P313" s="93">
        <v>0</v>
      </c>
      <c r="Q313" s="92">
        <v>0</v>
      </c>
    </row>
    <row r="314" spans="2:17" x14ac:dyDescent="0.25">
      <c r="B314" s="92">
        <v>0</v>
      </c>
      <c r="C314" s="90">
        <v>0</v>
      </c>
      <c r="D314" s="91">
        <v>0</v>
      </c>
      <c r="E314" s="92">
        <v>0</v>
      </c>
      <c r="F314" s="92">
        <v>0</v>
      </c>
      <c r="G314" s="92">
        <v>0</v>
      </c>
      <c r="H314" s="91">
        <v>0</v>
      </c>
      <c r="I314" s="91">
        <v>0</v>
      </c>
      <c r="J314" s="93">
        <v>0</v>
      </c>
      <c r="K314" s="93">
        <v>0</v>
      </c>
      <c r="L314" s="93">
        <v>0</v>
      </c>
      <c r="M314" s="93">
        <v>0</v>
      </c>
      <c r="N314" s="94">
        <v>0</v>
      </c>
      <c r="O314" s="94" t="str">
        <v/>
      </c>
      <c r="P314" s="93">
        <v>0</v>
      </c>
      <c r="Q314" s="92">
        <v>0</v>
      </c>
    </row>
    <row r="315" spans="2:17" x14ac:dyDescent="0.25">
      <c r="B315" s="92">
        <v>0</v>
      </c>
      <c r="C315" s="90">
        <v>0</v>
      </c>
      <c r="D315" s="91">
        <v>0</v>
      </c>
      <c r="E315" s="92">
        <v>0</v>
      </c>
      <c r="F315" s="92">
        <v>0</v>
      </c>
      <c r="G315" s="92">
        <v>0</v>
      </c>
      <c r="H315" s="91">
        <v>0</v>
      </c>
      <c r="I315" s="91">
        <v>0</v>
      </c>
      <c r="J315" s="93">
        <v>0</v>
      </c>
      <c r="K315" s="93">
        <v>0</v>
      </c>
      <c r="L315" s="93">
        <v>0</v>
      </c>
      <c r="M315" s="93">
        <v>0</v>
      </c>
      <c r="N315" s="94">
        <v>0</v>
      </c>
      <c r="O315" s="94" t="str">
        <v/>
      </c>
      <c r="P315" s="93">
        <v>0</v>
      </c>
      <c r="Q315" s="92">
        <v>0</v>
      </c>
    </row>
    <row r="316" spans="2:17" x14ac:dyDescent="0.25">
      <c r="B316" s="92">
        <v>0</v>
      </c>
      <c r="C316" s="90">
        <v>0</v>
      </c>
      <c r="D316" s="91">
        <v>0</v>
      </c>
      <c r="E316" s="92">
        <v>0</v>
      </c>
      <c r="F316" s="92">
        <v>0</v>
      </c>
      <c r="G316" s="92">
        <v>0</v>
      </c>
      <c r="H316" s="91">
        <v>0</v>
      </c>
      <c r="I316" s="91">
        <v>0</v>
      </c>
      <c r="J316" s="93">
        <v>0</v>
      </c>
      <c r="K316" s="93">
        <v>0</v>
      </c>
      <c r="L316" s="93">
        <v>0</v>
      </c>
      <c r="M316" s="93">
        <v>0</v>
      </c>
      <c r="N316" s="94">
        <v>0</v>
      </c>
      <c r="O316" s="94" t="str">
        <v/>
      </c>
      <c r="P316" s="93">
        <v>0</v>
      </c>
      <c r="Q316" s="92">
        <v>0</v>
      </c>
    </row>
    <row r="317" spans="2:17" x14ac:dyDescent="0.25">
      <c r="B317" s="92">
        <v>0</v>
      </c>
      <c r="C317" s="90">
        <v>0</v>
      </c>
      <c r="D317" s="91">
        <v>0</v>
      </c>
      <c r="E317" s="92">
        <v>0</v>
      </c>
      <c r="F317" s="92">
        <v>0</v>
      </c>
      <c r="G317" s="92">
        <v>0</v>
      </c>
      <c r="H317" s="91">
        <v>0</v>
      </c>
      <c r="I317" s="91">
        <v>0</v>
      </c>
      <c r="J317" s="93">
        <v>0</v>
      </c>
      <c r="K317" s="93">
        <v>0</v>
      </c>
      <c r="L317" s="93">
        <v>0</v>
      </c>
      <c r="M317" s="93">
        <v>0</v>
      </c>
      <c r="N317" s="94">
        <v>0</v>
      </c>
      <c r="O317" s="94" t="str">
        <v/>
      </c>
      <c r="P317" s="93">
        <v>0</v>
      </c>
      <c r="Q317" s="92">
        <v>0</v>
      </c>
    </row>
    <row r="318" spans="2:17" x14ac:dyDescent="0.25">
      <c r="B318" s="92">
        <v>0</v>
      </c>
      <c r="C318" s="90">
        <v>0</v>
      </c>
      <c r="D318" s="91">
        <v>0</v>
      </c>
      <c r="E318" s="92">
        <v>0</v>
      </c>
      <c r="F318" s="92">
        <v>0</v>
      </c>
      <c r="G318" s="92">
        <v>0</v>
      </c>
      <c r="H318" s="91">
        <v>0</v>
      </c>
      <c r="I318" s="91">
        <v>0</v>
      </c>
      <c r="J318" s="93">
        <v>0</v>
      </c>
      <c r="K318" s="93">
        <v>0</v>
      </c>
      <c r="L318" s="93">
        <v>0</v>
      </c>
      <c r="M318" s="93">
        <v>0</v>
      </c>
      <c r="N318" s="94">
        <v>0</v>
      </c>
      <c r="O318" s="94" t="str">
        <v/>
      </c>
      <c r="P318" s="93">
        <v>0</v>
      </c>
      <c r="Q318" s="92">
        <v>0</v>
      </c>
    </row>
    <row r="319" spans="2:17" x14ac:dyDescent="0.25">
      <c r="B319" s="92">
        <v>0</v>
      </c>
      <c r="C319" s="90">
        <v>0</v>
      </c>
      <c r="D319" s="91">
        <v>0</v>
      </c>
      <c r="E319" s="92">
        <v>0</v>
      </c>
      <c r="F319" s="92">
        <v>0</v>
      </c>
      <c r="G319" s="92">
        <v>0</v>
      </c>
      <c r="H319" s="91">
        <v>0</v>
      </c>
      <c r="I319" s="91">
        <v>0</v>
      </c>
      <c r="J319" s="93">
        <v>0</v>
      </c>
      <c r="K319" s="93">
        <v>0</v>
      </c>
      <c r="L319" s="93">
        <v>0</v>
      </c>
      <c r="M319" s="93">
        <v>0</v>
      </c>
      <c r="N319" s="94">
        <v>0</v>
      </c>
      <c r="O319" s="94" t="str">
        <v/>
      </c>
      <c r="P319" s="93">
        <v>0</v>
      </c>
      <c r="Q319" s="92">
        <v>0</v>
      </c>
    </row>
    <row r="320" spans="2:17" x14ac:dyDescent="0.25">
      <c r="B320" s="92">
        <v>0</v>
      </c>
      <c r="C320" s="90">
        <v>0</v>
      </c>
      <c r="D320" s="91">
        <v>0</v>
      </c>
      <c r="E320" s="92">
        <v>0</v>
      </c>
      <c r="F320" s="92">
        <v>0</v>
      </c>
      <c r="G320" s="92">
        <v>0</v>
      </c>
      <c r="H320" s="91">
        <v>0</v>
      </c>
      <c r="I320" s="91">
        <v>0</v>
      </c>
      <c r="J320" s="93">
        <v>0</v>
      </c>
      <c r="K320" s="93">
        <v>0</v>
      </c>
      <c r="L320" s="93">
        <v>0</v>
      </c>
      <c r="M320" s="93">
        <v>0</v>
      </c>
      <c r="N320" s="94">
        <v>0</v>
      </c>
      <c r="O320" s="94" t="str">
        <v/>
      </c>
      <c r="P320" s="93">
        <v>0</v>
      </c>
      <c r="Q320" s="92">
        <v>0</v>
      </c>
    </row>
    <row r="321" spans="2:17" x14ac:dyDescent="0.25">
      <c r="B321" s="92">
        <v>0</v>
      </c>
      <c r="C321" s="90">
        <v>0</v>
      </c>
      <c r="D321" s="91">
        <v>0</v>
      </c>
      <c r="E321" s="92">
        <v>0</v>
      </c>
      <c r="F321" s="92">
        <v>0</v>
      </c>
      <c r="G321" s="92">
        <v>0</v>
      </c>
      <c r="H321" s="91">
        <v>0</v>
      </c>
      <c r="I321" s="91">
        <v>0</v>
      </c>
      <c r="J321" s="93">
        <v>0</v>
      </c>
      <c r="K321" s="93">
        <v>0</v>
      </c>
      <c r="L321" s="93">
        <v>0</v>
      </c>
      <c r="M321" s="93">
        <v>0</v>
      </c>
      <c r="N321" s="94">
        <v>0</v>
      </c>
      <c r="O321" s="94" t="str">
        <v/>
      </c>
      <c r="P321" s="93">
        <v>0</v>
      </c>
      <c r="Q321" s="92">
        <v>0</v>
      </c>
    </row>
    <row r="322" spans="2:17" x14ac:dyDescent="0.25">
      <c r="B322" s="92">
        <v>0</v>
      </c>
      <c r="C322" s="90">
        <v>0</v>
      </c>
      <c r="D322" s="91">
        <v>0</v>
      </c>
      <c r="E322" s="92">
        <v>0</v>
      </c>
      <c r="F322" s="92">
        <v>0</v>
      </c>
      <c r="G322" s="92">
        <v>0</v>
      </c>
      <c r="H322" s="91">
        <v>0</v>
      </c>
      <c r="I322" s="91">
        <v>0</v>
      </c>
      <c r="J322" s="93">
        <v>0</v>
      </c>
      <c r="K322" s="93">
        <v>0</v>
      </c>
      <c r="L322" s="93">
        <v>0</v>
      </c>
      <c r="M322" s="93">
        <v>0</v>
      </c>
      <c r="N322" s="94">
        <v>0</v>
      </c>
      <c r="O322" s="94" t="str">
        <v/>
      </c>
      <c r="P322" s="93">
        <v>0</v>
      </c>
      <c r="Q322" s="92">
        <v>0</v>
      </c>
    </row>
    <row r="323" spans="2:17" x14ac:dyDescent="0.25">
      <c r="B323" s="92">
        <v>0</v>
      </c>
      <c r="C323" s="90">
        <v>0</v>
      </c>
      <c r="D323" s="91">
        <v>0</v>
      </c>
      <c r="E323" s="92">
        <v>0</v>
      </c>
      <c r="F323" s="92">
        <v>0</v>
      </c>
      <c r="G323" s="92">
        <v>0</v>
      </c>
      <c r="H323" s="91">
        <v>0</v>
      </c>
      <c r="I323" s="91">
        <v>0</v>
      </c>
      <c r="J323" s="93">
        <v>0</v>
      </c>
      <c r="K323" s="93">
        <v>0</v>
      </c>
      <c r="L323" s="93">
        <v>0</v>
      </c>
      <c r="M323" s="93">
        <v>0</v>
      </c>
      <c r="N323" s="94">
        <v>0</v>
      </c>
      <c r="O323" s="94" t="str">
        <v/>
      </c>
      <c r="P323" s="93">
        <v>0</v>
      </c>
      <c r="Q323" s="92">
        <v>0</v>
      </c>
    </row>
    <row r="324" spans="2:17" x14ac:dyDescent="0.25">
      <c r="B324" s="92">
        <v>0</v>
      </c>
      <c r="C324" s="90">
        <v>0</v>
      </c>
      <c r="D324" s="91">
        <v>0</v>
      </c>
      <c r="E324" s="92">
        <v>0</v>
      </c>
      <c r="F324" s="92">
        <v>0</v>
      </c>
      <c r="G324" s="92">
        <v>0</v>
      </c>
      <c r="H324" s="91">
        <v>0</v>
      </c>
      <c r="I324" s="91">
        <v>0</v>
      </c>
      <c r="J324" s="93">
        <v>0</v>
      </c>
      <c r="K324" s="93">
        <v>0</v>
      </c>
      <c r="L324" s="93">
        <v>0</v>
      </c>
      <c r="M324" s="93">
        <v>0</v>
      </c>
      <c r="N324" s="94">
        <v>0</v>
      </c>
      <c r="O324" s="94" t="str">
        <v/>
      </c>
      <c r="P324" s="93">
        <v>0</v>
      </c>
      <c r="Q324" s="92">
        <v>0</v>
      </c>
    </row>
    <row r="325" spans="2:17" x14ac:dyDescent="0.25">
      <c r="B325" s="92">
        <v>0</v>
      </c>
      <c r="C325" s="90">
        <v>0</v>
      </c>
      <c r="D325" s="91">
        <v>0</v>
      </c>
      <c r="E325" s="92">
        <v>0</v>
      </c>
      <c r="F325" s="92">
        <v>0</v>
      </c>
      <c r="G325" s="92">
        <v>0</v>
      </c>
      <c r="H325" s="91">
        <v>0</v>
      </c>
      <c r="I325" s="91">
        <v>0</v>
      </c>
      <c r="J325" s="93">
        <v>0</v>
      </c>
      <c r="K325" s="93">
        <v>0</v>
      </c>
      <c r="L325" s="93">
        <v>0</v>
      </c>
      <c r="M325" s="93">
        <v>0</v>
      </c>
      <c r="N325" s="94">
        <v>0</v>
      </c>
      <c r="O325" s="94" t="str">
        <v/>
      </c>
      <c r="P325" s="93">
        <v>0</v>
      </c>
      <c r="Q325" s="92">
        <v>0</v>
      </c>
    </row>
    <row r="326" spans="2:17" x14ac:dyDescent="0.25">
      <c r="B326" s="92">
        <v>0</v>
      </c>
      <c r="C326" s="90">
        <v>0</v>
      </c>
      <c r="D326" s="91">
        <v>0</v>
      </c>
      <c r="E326" s="92">
        <v>0</v>
      </c>
      <c r="F326" s="92">
        <v>0</v>
      </c>
      <c r="G326" s="92">
        <v>0</v>
      </c>
      <c r="H326" s="91">
        <v>0</v>
      </c>
      <c r="I326" s="91">
        <v>0</v>
      </c>
      <c r="J326" s="93">
        <v>0</v>
      </c>
      <c r="K326" s="93">
        <v>0</v>
      </c>
      <c r="L326" s="93">
        <v>0</v>
      </c>
      <c r="M326" s="93">
        <v>0</v>
      </c>
      <c r="N326" s="94">
        <v>0</v>
      </c>
      <c r="O326" s="94" t="str">
        <v/>
      </c>
      <c r="P326" s="93">
        <v>0</v>
      </c>
      <c r="Q326" s="92">
        <v>0</v>
      </c>
    </row>
    <row r="327" spans="2:17" x14ac:dyDescent="0.25">
      <c r="B327" s="92">
        <v>0</v>
      </c>
      <c r="C327" s="90">
        <v>0</v>
      </c>
      <c r="D327" s="91">
        <v>0</v>
      </c>
      <c r="E327" s="92">
        <v>0</v>
      </c>
      <c r="F327" s="92">
        <v>0</v>
      </c>
      <c r="G327" s="92">
        <v>0</v>
      </c>
      <c r="H327" s="91">
        <v>0</v>
      </c>
      <c r="I327" s="91">
        <v>0</v>
      </c>
      <c r="J327" s="93">
        <v>0</v>
      </c>
      <c r="K327" s="93">
        <v>0</v>
      </c>
      <c r="L327" s="93">
        <v>0</v>
      </c>
      <c r="M327" s="93">
        <v>0</v>
      </c>
      <c r="N327" s="94">
        <v>0</v>
      </c>
      <c r="O327" s="94" t="str">
        <v/>
      </c>
      <c r="P327" s="93">
        <v>0</v>
      </c>
      <c r="Q327" s="92">
        <v>0</v>
      </c>
    </row>
    <row r="328" spans="2:17" x14ac:dyDescent="0.25">
      <c r="B328" s="92">
        <v>0</v>
      </c>
      <c r="C328" s="90">
        <v>0</v>
      </c>
      <c r="D328" s="91">
        <v>0</v>
      </c>
      <c r="E328" s="92">
        <v>0</v>
      </c>
      <c r="F328" s="92">
        <v>0</v>
      </c>
      <c r="G328" s="92">
        <v>0</v>
      </c>
      <c r="H328" s="91">
        <v>0</v>
      </c>
      <c r="I328" s="91">
        <v>0</v>
      </c>
      <c r="J328" s="93">
        <v>0</v>
      </c>
      <c r="K328" s="93">
        <v>0</v>
      </c>
      <c r="L328" s="93">
        <v>0</v>
      </c>
      <c r="M328" s="93">
        <v>0</v>
      </c>
      <c r="N328" s="94">
        <v>0</v>
      </c>
      <c r="O328" s="94" t="str">
        <v/>
      </c>
      <c r="P328" s="93">
        <v>0</v>
      </c>
      <c r="Q328" s="92">
        <v>0</v>
      </c>
    </row>
    <row r="329" spans="2:17" x14ac:dyDescent="0.25">
      <c r="B329" s="92">
        <v>0</v>
      </c>
      <c r="C329" s="90">
        <v>0</v>
      </c>
      <c r="D329" s="91">
        <v>0</v>
      </c>
      <c r="E329" s="92">
        <v>0</v>
      </c>
      <c r="F329" s="92">
        <v>0</v>
      </c>
      <c r="G329" s="92">
        <v>0</v>
      </c>
      <c r="H329" s="91">
        <v>0</v>
      </c>
      <c r="I329" s="91">
        <v>0</v>
      </c>
      <c r="J329" s="93">
        <v>0</v>
      </c>
      <c r="K329" s="93">
        <v>0</v>
      </c>
      <c r="L329" s="93">
        <v>0</v>
      </c>
      <c r="M329" s="93">
        <v>0</v>
      </c>
      <c r="N329" s="94">
        <v>0</v>
      </c>
      <c r="O329" s="94" t="str">
        <v/>
      </c>
      <c r="P329" s="93">
        <v>0</v>
      </c>
      <c r="Q329" s="92">
        <v>0</v>
      </c>
    </row>
    <row r="330" spans="2:17" x14ac:dyDescent="0.25">
      <c r="B330" s="92">
        <v>0</v>
      </c>
      <c r="C330" s="90">
        <v>0</v>
      </c>
      <c r="D330" s="91">
        <v>0</v>
      </c>
      <c r="E330" s="92">
        <v>0</v>
      </c>
      <c r="F330" s="92">
        <v>0</v>
      </c>
      <c r="G330" s="92">
        <v>0</v>
      </c>
      <c r="H330" s="91">
        <v>0</v>
      </c>
      <c r="I330" s="91">
        <v>0</v>
      </c>
      <c r="J330" s="93">
        <v>0</v>
      </c>
      <c r="K330" s="93">
        <v>0</v>
      </c>
      <c r="L330" s="93">
        <v>0</v>
      </c>
      <c r="M330" s="93">
        <v>0</v>
      </c>
      <c r="N330" s="94">
        <v>0</v>
      </c>
      <c r="O330" s="94" t="str">
        <v/>
      </c>
      <c r="P330" s="93">
        <v>0</v>
      </c>
      <c r="Q330" s="92">
        <v>0</v>
      </c>
    </row>
    <row r="331" spans="2:17" x14ac:dyDescent="0.25">
      <c r="B331" s="92">
        <v>0</v>
      </c>
      <c r="C331" s="90">
        <v>0</v>
      </c>
      <c r="D331" s="91">
        <v>0</v>
      </c>
      <c r="E331" s="92">
        <v>0</v>
      </c>
      <c r="F331" s="92">
        <v>0</v>
      </c>
      <c r="G331" s="92">
        <v>0</v>
      </c>
      <c r="H331" s="91">
        <v>0</v>
      </c>
      <c r="I331" s="91">
        <v>0</v>
      </c>
      <c r="J331" s="93">
        <v>0</v>
      </c>
      <c r="K331" s="93">
        <v>0</v>
      </c>
      <c r="L331" s="93">
        <v>0</v>
      </c>
      <c r="M331" s="93">
        <v>0</v>
      </c>
      <c r="N331" s="94">
        <v>0</v>
      </c>
      <c r="O331" s="94" t="str">
        <v/>
      </c>
      <c r="P331" s="93">
        <v>0</v>
      </c>
      <c r="Q331" s="92">
        <v>0</v>
      </c>
    </row>
    <row r="332" spans="2:17" x14ac:dyDescent="0.25">
      <c r="B332" s="92">
        <v>0</v>
      </c>
      <c r="C332" s="90">
        <v>0</v>
      </c>
      <c r="D332" s="91">
        <v>0</v>
      </c>
      <c r="E332" s="92">
        <v>0</v>
      </c>
      <c r="F332" s="92">
        <v>0</v>
      </c>
      <c r="G332" s="92">
        <v>0</v>
      </c>
      <c r="H332" s="91">
        <v>0</v>
      </c>
      <c r="I332" s="91">
        <v>0</v>
      </c>
      <c r="J332" s="93">
        <v>0</v>
      </c>
      <c r="K332" s="93">
        <v>0</v>
      </c>
      <c r="L332" s="93">
        <v>0</v>
      </c>
      <c r="M332" s="93">
        <v>0</v>
      </c>
      <c r="N332" s="94">
        <v>0</v>
      </c>
      <c r="O332" s="94" t="str">
        <v/>
      </c>
      <c r="P332" s="93">
        <v>0</v>
      </c>
      <c r="Q332" s="92">
        <v>0</v>
      </c>
    </row>
    <row r="333" spans="2:17" x14ac:dyDescent="0.25">
      <c r="B333" s="92">
        <v>0</v>
      </c>
      <c r="C333" s="90">
        <v>0</v>
      </c>
      <c r="D333" s="91">
        <v>0</v>
      </c>
      <c r="E333" s="92">
        <v>0</v>
      </c>
      <c r="F333" s="92">
        <v>0</v>
      </c>
      <c r="G333" s="92">
        <v>0</v>
      </c>
      <c r="H333" s="91">
        <v>0</v>
      </c>
      <c r="I333" s="91">
        <v>0</v>
      </c>
      <c r="J333" s="93">
        <v>0</v>
      </c>
      <c r="K333" s="93">
        <v>0</v>
      </c>
      <c r="L333" s="93">
        <v>0</v>
      </c>
      <c r="M333" s="93">
        <v>0</v>
      </c>
      <c r="N333" s="94">
        <v>0</v>
      </c>
      <c r="O333" s="94" t="str">
        <v/>
      </c>
      <c r="P333" s="93">
        <v>0</v>
      </c>
      <c r="Q333" s="92">
        <v>0</v>
      </c>
    </row>
    <row r="334" spans="2:17" x14ac:dyDescent="0.25">
      <c r="B334" s="92">
        <v>0</v>
      </c>
      <c r="C334" s="90">
        <v>0</v>
      </c>
      <c r="D334" s="91">
        <v>0</v>
      </c>
      <c r="E334" s="92">
        <v>0</v>
      </c>
      <c r="F334" s="92">
        <v>0</v>
      </c>
      <c r="G334" s="92">
        <v>0</v>
      </c>
      <c r="H334" s="91">
        <v>0</v>
      </c>
      <c r="I334" s="91">
        <v>0</v>
      </c>
      <c r="J334" s="93">
        <v>0</v>
      </c>
      <c r="K334" s="93">
        <v>0</v>
      </c>
      <c r="L334" s="93">
        <v>0</v>
      </c>
      <c r="M334" s="93">
        <v>0</v>
      </c>
      <c r="N334" s="94">
        <v>0</v>
      </c>
      <c r="O334" s="94" t="str">
        <v/>
      </c>
      <c r="P334" s="93">
        <v>0</v>
      </c>
      <c r="Q334" s="92">
        <v>0</v>
      </c>
    </row>
    <row r="335" spans="2:17" x14ac:dyDescent="0.25">
      <c r="B335" s="92">
        <v>0</v>
      </c>
      <c r="C335" s="90">
        <v>0</v>
      </c>
      <c r="D335" s="91">
        <v>0</v>
      </c>
      <c r="E335" s="92">
        <v>0</v>
      </c>
      <c r="F335" s="92">
        <v>0</v>
      </c>
      <c r="G335" s="92">
        <v>0</v>
      </c>
      <c r="H335" s="91">
        <v>0</v>
      </c>
      <c r="I335" s="91">
        <v>0</v>
      </c>
      <c r="J335" s="93">
        <v>0</v>
      </c>
      <c r="K335" s="93">
        <v>0</v>
      </c>
      <c r="L335" s="93">
        <v>0</v>
      </c>
      <c r="M335" s="93">
        <v>0</v>
      </c>
      <c r="N335" s="94">
        <v>0</v>
      </c>
      <c r="O335" s="94" t="str">
        <v/>
      </c>
      <c r="P335" s="93">
        <v>0</v>
      </c>
      <c r="Q335" s="92">
        <v>0</v>
      </c>
    </row>
    <row r="336" spans="2:17" x14ac:dyDescent="0.25">
      <c r="B336" s="92">
        <v>0</v>
      </c>
      <c r="C336" s="90">
        <v>0</v>
      </c>
      <c r="D336" s="91">
        <v>0</v>
      </c>
      <c r="E336" s="92">
        <v>0</v>
      </c>
      <c r="F336" s="92">
        <v>0</v>
      </c>
      <c r="G336" s="92">
        <v>0</v>
      </c>
      <c r="H336" s="91">
        <v>0</v>
      </c>
      <c r="I336" s="91">
        <v>0</v>
      </c>
      <c r="J336" s="93">
        <v>0</v>
      </c>
      <c r="K336" s="93">
        <v>0</v>
      </c>
      <c r="L336" s="93">
        <v>0</v>
      </c>
      <c r="M336" s="93">
        <v>0</v>
      </c>
      <c r="N336" s="94">
        <v>0</v>
      </c>
      <c r="O336" s="94" t="str">
        <v/>
      </c>
      <c r="P336" s="93">
        <v>0</v>
      </c>
      <c r="Q336" s="92">
        <v>0</v>
      </c>
    </row>
    <row r="337" spans="2:17" x14ac:dyDescent="0.25">
      <c r="B337" s="92">
        <v>0</v>
      </c>
      <c r="C337" s="90">
        <v>0</v>
      </c>
      <c r="D337" s="91">
        <v>0</v>
      </c>
      <c r="E337" s="92">
        <v>0</v>
      </c>
      <c r="F337" s="92">
        <v>0</v>
      </c>
      <c r="G337" s="92">
        <v>0</v>
      </c>
      <c r="H337" s="91">
        <v>0</v>
      </c>
      <c r="I337" s="91">
        <v>0</v>
      </c>
      <c r="J337" s="93">
        <v>0</v>
      </c>
      <c r="K337" s="93">
        <v>0</v>
      </c>
      <c r="L337" s="93">
        <v>0</v>
      </c>
      <c r="M337" s="93">
        <v>0</v>
      </c>
      <c r="N337" s="94">
        <v>0</v>
      </c>
      <c r="O337" s="94" t="str">
        <v/>
      </c>
      <c r="P337" s="93">
        <v>0</v>
      </c>
      <c r="Q337" s="92">
        <v>0</v>
      </c>
    </row>
    <row r="338" spans="2:17" x14ac:dyDescent="0.25">
      <c r="B338" s="92">
        <v>0</v>
      </c>
      <c r="C338" s="90">
        <v>0</v>
      </c>
      <c r="D338" s="91">
        <v>0</v>
      </c>
      <c r="E338" s="92">
        <v>0</v>
      </c>
      <c r="F338" s="92">
        <v>0</v>
      </c>
      <c r="G338" s="92">
        <v>0</v>
      </c>
      <c r="H338" s="91">
        <v>0</v>
      </c>
      <c r="I338" s="91">
        <v>0</v>
      </c>
      <c r="J338" s="93">
        <v>0</v>
      </c>
      <c r="K338" s="93">
        <v>0</v>
      </c>
      <c r="L338" s="93">
        <v>0</v>
      </c>
      <c r="M338" s="93">
        <v>0</v>
      </c>
      <c r="N338" s="94">
        <v>0</v>
      </c>
      <c r="O338" s="94" t="str">
        <v/>
      </c>
      <c r="P338" s="93">
        <v>0</v>
      </c>
      <c r="Q338" s="92">
        <v>0</v>
      </c>
    </row>
    <row r="339" spans="2:17" x14ac:dyDescent="0.25">
      <c r="B339" s="92">
        <v>0</v>
      </c>
      <c r="C339" s="90">
        <v>0</v>
      </c>
      <c r="D339" s="91">
        <v>0</v>
      </c>
      <c r="E339" s="92">
        <v>0</v>
      </c>
      <c r="F339" s="92">
        <v>0</v>
      </c>
      <c r="G339" s="92">
        <v>0</v>
      </c>
      <c r="H339" s="91">
        <v>0</v>
      </c>
      <c r="I339" s="91">
        <v>0</v>
      </c>
      <c r="J339" s="93">
        <v>0</v>
      </c>
      <c r="K339" s="93">
        <v>0</v>
      </c>
      <c r="L339" s="93">
        <v>0</v>
      </c>
      <c r="M339" s="93">
        <v>0</v>
      </c>
      <c r="N339" s="94">
        <v>0</v>
      </c>
      <c r="O339" s="94" t="str">
        <v/>
      </c>
      <c r="P339" s="93">
        <v>0</v>
      </c>
      <c r="Q339" s="92">
        <v>0</v>
      </c>
    </row>
    <row r="340" spans="2:17" x14ac:dyDescent="0.25">
      <c r="B340" s="92">
        <v>0</v>
      </c>
      <c r="C340" s="90">
        <v>0</v>
      </c>
      <c r="D340" s="91">
        <v>0</v>
      </c>
      <c r="E340" s="92">
        <v>0</v>
      </c>
      <c r="F340" s="92">
        <v>0</v>
      </c>
      <c r="G340" s="92">
        <v>0</v>
      </c>
      <c r="H340" s="91">
        <v>0</v>
      </c>
      <c r="I340" s="91">
        <v>0</v>
      </c>
      <c r="J340" s="93">
        <v>0</v>
      </c>
      <c r="K340" s="93">
        <v>0</v>
      </c>
      <c r="L340" s="93">
        <v>0</v>
      </c>
      <c r="M340" s="93">
        <v>0</v>
      </c>
      <c r="N340" s="94">
        <v>0</v>
      </c>
      <c r="O340" s="94" t="str">
        <v/>
      </c>
      <c r="P340" s="93">
        <v>0</v>
      </c>
      <c r="Q340" s="92">
        <v>0</v>
      </c>
    </row>
    <row r="341" spans="2:17" x14ac:dyDescent="0.25">
      <c r="B341" s="92">
        <v>0</v>
      </c>
      <c r="C341" s="90">
        <v>0</v>
      </c>
      <c r="D341" s="91">
        <v>0</v>
      </c>
      <c r="E341" s="92">
        <v>0</v>
      </c>
      <c r="F341" s="92">
        <v>0</v>
      </c>
      <c r="G341" s="92">
        <v>0</v>
      </c>
      <c r="H341" s="91">
        <v>0</v>
      </c>
      <c r="I341" s="91">
        <v>0</v>
      </c>
      <c r="J341" s="93">
        <v>0</v>
      </c>
      <c r="K341" s="93">
        <v>0</v>
      </c>
      <c r="L341" s="93">
        <v>0</v>
      </c>
      <c r="M341" s="93">
        <v>0</v>
      </c>
      <c r="N341" s="94">
        <v>0</v>
      </c>
      <c r="O341" s="94" t="str">
        <v/>
      </c>
      <c r="P341" s="93">
        <v>0</v>
      </c>
      <c r="Q341" s="92">
        <v>0</v>
      </c>
    </row>
    <row r="342" spans="2:17" x14ac:dyDescent="0.25">
      <c r="B342" s="92">
        <v>0</v>
      </c>
      <c r="C342" s="90">
        <v>0</v>
      </c>
      <c r="D342" s="91">
        <v>0</v>
      </c>
      <c r="E342" s="92">
        <v>0</v>
      </c>
      <c r="F342" s="92">
        <v>0</v>
      </c>
      <c r="G342" s="92">
        <v>0</v>
      </c>
      <c r="H342" s="91">
        <v>0</v>
      </c>
      <c r="I342" s="91">
        <v>0</v>
      </c>
      <c r="J342" s="93">
        <v>0</v>
      </c>
      <c r="K342" s="93">
        <v>0</v>
      </c>
      <c r="L342" s="93">
        <v>0</v>
      </c>
      <c r="M342" s="93">
        <v>0</v>
      </c>
      <c r="N342" s="94">
        <v>0</v>
      </c>
      <c r="O342" s="94" t="str">
        <v/>
      </c>
      <c r="P342" s="93">
        <v>0</v>
      </c>
      <c r="Q342" s="92">
        <v>0</v>
      </c>
    </row>
    <row r="343" spans="2:17" x14ac:dyDescent="0.25">
      <c r="B343" s="92">
        <v>0</v>
      </c>
      <c r="C343" s="90">
        <v>0</v>
      </c>
      <c r="D343" s="91">
        <v>0</v>
      </c>
      <c r="E343" s="92">
        <v>0</v>
      </c>
      <c r="F343" s="92">
        <v>0</v>
      </c>
      <c r="G343" s="92">
        <v>0</v>
      </c>
      <c r="H343" s="91">
        <v>0</v>
      </c>
      <c r="I343" s="91">
        <v>0</v>
      </c>
      <c r="J343" s="93">
        <v>0</v>
      </c>
      <c r="K343" s="93">
        <v>0</v>
      </c>
      <c r="L343" s="93">
        <v>0</v>
      </c>
      <c r="M343" s="93">
        <v>0</v>
      </c>
      <c r="N343" s="94">
        <v>0</v>
      </c>
      <c r="O343" s="94" t="str">
        <v/>
      </c>
      <c r="P343" s="93">
        <v>0</v>
      </c>
      <c r="Q343" s="92">
        <v>0</v>
      </c>
    </row>
    <row r="344" spans="2:17" x14ac:dyDescent="0.25">
      <c r="B344" s="92">
        <v>0</v>
      </c>
      <c r="C344" s="90">
        <v>0</v>
      </c>
      <c r="D344" s="91">
        <v>0</v>
      </c>
      <c r="E344" s="92">
        <v>0</v>
      </c>
      <c r="F344" s="92">
        <v>0</v>
      </c>
      <c r="G344" s="92">
        <v>0</v>
      </c>
      <c r="H344" s="91">
        <v>0</v>
      </c>
      <c r="I344" s="91">
        <v>0</v>
      </c>
      <c r="J344" s="93">
        <v>0</v>
      </c>
      <c r="K344" s="93">
        <v>0</v>
      </c>
      <c r="L344" s="93">
        <v>0</v>
      </c>
      <c r="M344" s="93">
        <v>0</v>
      </c>
      <c r="N344" s="94">
        <v>0</v>
      </c>
      <c r="O344" s="94" t="str">
        <v/>
      </c>
      <c r="P344" s="93">
        <v>0</v>
      </c>
      <c r="Q344" s="92">
        <v>0</v>
      </c>
    </row>
    <row r="345" spans="2:17" x14ac:dyDescent="0.25">
      <c r="B345" s="92">
        <v>0</v>
      </c>
      <c r="C345" s="90">
        <v>0</v>
      </c>
      <c r="D345" s="91">
        <v>0</v>
      </c>
      <c r="E345" s="92">
        <v>0</v>
      </c>
      <c r="F345" s="92">
        <v>0</v>
      </c>
      <c r="G345" s="92">
        <v>0</v>
      </c>
      <c r="H345" s="91">
        <v>0</v>
      </c>
      <c r="I345" s="91">
        <v>0</v>
      </c>
      <c r="J345" s="93">
        <v>0</v>
      </c>
      <c r="K345" s="93">
        <v>0</v>
      </c>
      <c r="L345" s="93">
        <v>0</v>
      </c>
      <c r="M345" s="93">
        <v>0</v>
      </c>
      <c r="N345" s="94">
        <v>0</v>
      </c>
      <c r="O345" s="94" t="str">
        <v/>
      </c>
      <c r="P345" s="93">
        <v>0</v>
      </c>
      <c r="Q345" s="92">
        <v>0</v>
      </c>
    </row>
    <row r="346" spans="2:17" x14ac:dyDescent="0.25">
      <c r="B346" s="92">
        <v>0</v>
      </c>
      <c r="C346" s="90">
        <v>0</v>
      </c>
      <c r="D346" s="91">
        <v>0</v>
      </c>
      <c r="E346" s="92">
        <v>0</v>
      </c>
      <c r="F346" s="92">
        <v>0</v>
      </c>
      <c r="G346" s="92">
        <v>0</v>
      </c>
      <c r="H346" s="91">
        <v>0</v>
      </c>
      <c r="I346" s="91">
        <v>0</v>
      </c>
      <c r="J346" s="93">
        <v>0</v>
      </c>
      <c r="K346" s="93">
        <v>0</v>
      </c>
      <c r="L346" s="93">
        <v>0</v>
      </c>
      <c r="M346" s="93">
        <v>0</v>
      </c>
      <c r="N346" s="94">
        <v>0</v>
      </c>
      <c r="O346" s="94" t="str">
        <v/>
      </c>
      <c r="P346" s="93">
        <v>0</v>
      </c>
      <c r="Q346" s="92">
        <v>0</v>
      </c>
    </row>
    <row r="347" spans="2:17" x14ac:dyDescent="0.25">
      <c r="B347" s="92">
        <v>0</v>
      </c>
      <c r="C347" s="90">
        <v>0</v>
      </c>
      <c r="D347" s="91">
        <v>0</v>
      </c>
      <c r="E347" s="92">
        <v>0</v>
      </c>
      <c r="F347" s="92">
        <v>0</v>
      </c>
      <c r="G347" s="92">
        <v>0</v>
      </c>
      <c r="H347" s="91">
        <v>0</v>
      </c>
      <c r="I347" s="91">
        <v>0</v>
      </c>
      <c r="J347" s="93">
        <v>0</v>
      </c>
      <c r="K347" s="93">
        <v>0</v>
      </c>
      <c r="L347" s="93">
        <v>0</v>
      </c>
      <c r="M347" s="93">
        <v>0</v>
      </c>
      <c r="N347" s="94">
        <v>0</v>
      </c>
      <c r="O347" s="94" t="str">
        <v/>
      </c>
      <c r="P347" s="93">
        <v>0</v>
      </c>
      <c r="Q347" s="92">
        <v>0</v>
      </c>
    </row>
    <row r="348" spans="2:17" x14ac:dyDescent="0.25">
      <c r="B348" s="92">
        <v>0</v>
      </c>
      <c r="C348" s="90">
        <v>0</v>
      </c>
      <c r="D348" s="91">
        <v>0</v>
      </c>
      <c r="E348" s="92">
        <v>0</v>
      </c>
      <c r="F348" s="92">
        <v>0</v>
      </c>
      <c r="G348" s="92">
        <v>0</v>
      </c>
      <c r="H348" s="91">
        <v>0</v>
      </c>
      <c r="I348" s="91">
        <v>0</v>
      </c>
      <c r="J348" s="93">
        <v>0</v>
      </c>
      <c r="K348" s="93">
        <v>0</v>
      </c>
      <c r="L348" s="93">
        <v>0</v>
      </c>
      <c r="M348" s="93">
        <v>0</v>
      </c>
      <c r="N348" s="94">
        <v>0</v>
      </c>
      <c r="O348" s="94" t="str">
        <v/>
      </c>
      <c r="P348" s="93">
        <v>0</v>
      </c>
      <c r="Q348" s="92">
        <v>0</v>
      </c>
    </row>
    <row r="349" spans="2:17" x14ac:dyDescent="0.25">
      <c r="B349" s="92">
        <v>0</v>
      </c>
      <c r="C349" s="90">
        <v>0</v>
      </c>
      <c r="D349" s="91">
        <v>0</v>
      </c>
      <c r="E349" s="92">
        <v>0</v>
      </c>
      <c r="F349" s="92">
        <v>0</v>
      </c>
      <c r="G349" s="92">
        <v>0</v>
      </c>
      <c r="H349" s="91">
        <v>0</v>
      </c>
      <c r="I349" s="91">
        <v>0</v>
      </c>
      <c r="J349" s="93">
        <v>0</v>
      </c>
      <c r="K349" s="93">
        <v>0</v>
      </c>
      <c r="L349" s="93">
        <v>0</v>
      </c>
      <c r="M349" s="93">
        <v>0</v>
      </c>
      <c r="N349" s="94">
        <v>0</v>
      </c>
      <c r="O349" s="94" t="str">
        <v/>
      </c>
      <c r="P349" s="93">
        <v>0</v>
      </c>
      <c r="Q349" s="92">
        <v>0</v>
      </c>
    </row>
    <row r="350" spans="2:17" x14ac:dyDescent="0.25">
      <c r="B350" s="92">
        <v>0</v>
      </c>
      <c r="C350" s="90">
        <v>0</v>
      </c>
      <c r="D350" s="91">
        <v>0</v>
      </c>
      <c r="E350" s="92">
        <v>0</v>
      </c>
      <c r="F350" s="92">
        <v>0</v>
      </c>
      <c r="G350" s="92">
        <v>0</v>
      </c>
      <c r="H350" s="91">
        <v>0</v>
      </c>
      <c r="I350" s="91">
        <v>0</v>
      </c>
      <c r="J350" s="93">
        <v>0</v>
      </c>
      <c r="K350" s="93">
        <v>0</v>
      </c>
      <c r="L350" s="93">
        <v>0</v>
      </c>
      <c r="M350" s="93">
        <v>0</v>
      </c>
      <c r="N350" s="94">
        <v>0</v>
      </c>
      <c r="O350" s="94" t="str">
        <v/>
      </c>
      <c r="P350" s="93">
        <v>0</v>
      </c>
      <c r="Q350" s="92">
        <v>0</v>
      </c>
    </row>
    <row r="351" spans="2:17" x14ac:dyDescent="0.25">
      <c r="B351" s="92">
        <v>0</v>
      </c>
      <c r="C351" s="90">
        <v>0</v>
      </c>
      <c r="D351" s="91">
        <v>0</v>
      </c>
      <c r="E351" s="92">
        <v>0</v>
      </c>
      <c r="F351" s="92">
        <v>0</v>
      </c>
      <c r="G351" s="92">
        <v>0</v>
      </c>
      <c r="H351" s="91">
        <v>0</v>
      </c>
      <c r="I351" s="91">
        <v>0</v>
      </c>
      <c r="J351" s="93">
        <v>0</v>
      </c>
      <c r="K351" s="93">
        <v>0</v>
      </c>
      <c r="L351" s="93">
        <v>0</v>
      </c>
      <c r="M351" s="93">
        <v>0</v>
      </c>
      <c r="N351" s="94">
        <v>0</v>
      </c>
      <c r="O351" s="94" t="str">
        <v/>
      </c>
      <c r="P351" s="93">
        <v>0</v>
      </c>
      <c r="Q351" s="92">
        <v>0</v>
      </c>
    </row>
    <row r="352" spans="2:17" x14ac:dyDescent="0.25">
      <c r="B352" s="92">
        <v>0</v>
      </c>
      <c r="C352" s="90">
        <v>0</v>
      </c>
      <c r="D352" s="91">
        <v>0</v>
      </c>
      <c r="E352" s="92">
        <v>0</v>
      </c>
      <c r="F352" s="92">
        <v>0</v>
      </c>
      <c r="G352" s="92">
        <v>0</v>
      </c>
      <c r="H352" s="91">
        <v>0</v>
      </c>
      <c r="I352" s="91">
        <v>0</v>
      </c>
      <c r="J352" s="93">
        <v>0</v>
      </c>
      <c r="K352" s="93">
        <v>0</v>
      </c>
      <c r="L352" s="93">
        <v>0</v>
      </c>
      <c r="M352" s="93">
        <v>0</v>
      </c>
      <c r="N352" s="94">
        <v>0</v>
      </c>
      <c r="O352" s="94" t="str">
        <v/>
      </c>
      <c r="P352" s="93">
        <v>0</v>
      </c>
      <c r="Q352" s="92">
        <v>0</v>
      </c>
    </row>
    <row r="353" spans="2:17" x14ac:dyDescent="0.25">
      <c r="B353" s="92">
        <v>0</v>
      </c>
      <c r="C353" s="90">
        <v>0</v>
      </c>
      <c r="D353" s="91">
        <v>0</v>
      </c>
      <c r="E353" s="92">
        <v>0</v>
      </c>
      <c r="F353" s="92">
        <v>0</v>
      </c>
      <c r="G353" s="92">
        <v>0</v>
      </c>
      <c r="H353" s="91">
        <v>0</v>
      </c>
      <c r="I353" s="91">
        <v>0</v>
      </c>
      <c r="J353" s="93">
        <v>0</v>
      </c>
      <c r="K353" s="93">
        <v>0</v>
      </c>
      <c r="L353" s="93">
        <v>0</v>
      </c>
      <c r="M353" s="93">
        <v>0</v>
      </c>
      <c r="N353" s="94">
        <v>0</v>
      </c>
      <c r="O353" s="94" t="str">
        <v/>
      </c>
      <c r="P353" s="93">
        <v>0</v>
      </c>
      <c r="Q353" s="92">
        <v>0</v>
      </c>
    </row>
    <row r="354" spans="2:17" x14ac:dyDescent="0.25">
      <c r="B354" s="92">
        <v>0</v>
      </c>
      <c r="C354" s="90">
        <v>0</v>
      </c>
      <c r="D354" s="91">
        <v>0</v>
      </c>
      <c r="E354" s="92">
        <v>0</v>
      </c>
      <c r="F354" s="92">
        <v>0</v>
      </c>
      <c r="G354" s="92">
        <v>0</v>
      </c>
      <c r="H354" s="91">
        <v>0</v>
      </c>
      <c r="I354" s="91">
        <v>0</v>
      </c>
      <c r="J354" s="93">
        <v>0</v>
      </c>
      <c r="K354" s="93">
        <v>0</v>
      </c>
      <c r="L354" s="93">
        <v>0</v>
      </c>
      <c r="M354" s="93">
        <v>0</v>
      </c>
      <c r="N354" s="94">
        <v>0</v>
      </c>
      <c r="O354" s="94" t="str">
        <v/>
      </c>
      <c r="P354" s="93">
        <v>0</v>
      </c>
      <c r="Q354" s="92">
        <v>0</v>
      </c>
    </row>
    <row r="355" spans="2:17" x14ac:dyDescent="0.25">
      <c r="B355" s="92">
        <v>0</v>
      </c>
      <c r="C355" s="90">
        <v>0</v>
      </c>
      <c r="D355" s="91">
        <v>0</v>
      </c>
      <c r="E355" s="92">
        <v>0</v>
      </c>
      <c r="F355" s="92">
        <v>0</v>
      </c>
      <c r="G355" s="92">
        <v>0</v>
      </c>
      <c r="H355" s="91">
        <v>0</v>
      </c>
      <c r="I355" s="91">
        <v>0</v>
      </c>
      <c r="J355" s="93">
        <v>0</v>
      </c>
      <c r="K355" s="93">
        <v>0</v>
      </c>
      <c r="L355" s="93">
        <v>0</v>
      </c>
      <c r="M355" s="93">
        <v>0</v>
      </c>
      <c r="N355" s="94">
        <v>0</v>
      </c>
      <c r="O355" s="94" t="str">
        <v/>
      </c>
      <c r="P355" s="93">
        <v>0</v>
      </c>
      <c r="Q355" s="92">
        <v>0</v>
      </c>
    </row>
    <row r="356" spans="2:17" x14ac:dyDescent="0.25">
      <c r="B356" s="92">
        <v>0</v>
      </c>
      <c r="C356" s="90">
        <v>0</v>
      </c>
      <c r="D356" s="91">
        <v>0</v>
      </c>
      <c r="E356" s="92">
        <v>0</v>
      </c>
      <c r="F356" s="92">
        <v>0</v>
      </c>
      <c r="G356" s="92">
        <v>0</v>
      </c>
      <c r="H356" s="91">
        <v>0</v>
      </c>
      <c r="I356" s="91">
        <v>0</v>
      </c>
      <c r="J356" s="93">
        <v>0</v>
      </c>
      <c r="K356" s="93">
        <v>0</v>
      </c>
      <c r="L356" s="93">
        <v>0</v>
      </c>
      <c r="M356" s="93">
        <v>0</v>
      </c>
      <c r="N356" s="94">
        <v>0</v>
      </c>
      <c r="O356" s="94" t="str">
        <v/>
      </c>
      <c r="P356" s="93">
        <v>0</v>
      </c>
      <c r="Q356" s="92">
        <v>0</v>
      </c>
    </row>
    <row r="357" spans="2:17" x14ac:dyDescent="0.25">
      <c r="B357" s="92">
        <v>0</v>
      </c>
      <c r="C357" s="90">
        <v>0</v>
      </c>
      <c r="D357" s="91">
        <v>0</v>
      </c>
      <c r="E357" s="92">
        <v>0</v>
      </c>
      <c r="F357" s="92">
        <v>0</v>
      </c>
      <c r="G357" s="92">
        <v>0</v>
      </c>
      <c r="H357" s="91">
        <v>0</v>
      </c>
      <c r="I357" s="91">
        <v>0</v>
      </c>
      <c r="J357" s="93">
        <v>0</v>
      </c>
      <c r="K357" s="93">
        <v>0</v>
      </c>
      <c r="L357" s="93">
        <v>0</v>
      </c>
      <c r="M357" s="93">
        <v>0</v>
      </c>
      <c r="N357" s="94">
        <v>0</v>
      </c>
      <c r="O357" s="94" t="str">
        <v/>
      </c>
      <c r="P357" s="93">
        <v>0</v>
      </c>
      <c r="Q357" s="92">
        <v>0</v>
      </c>
    </row>
    <row r="358" spans="2:17" x14ac:dyDescent="0.25">
      <c r="B358" s="92">
        <v>0</v>
      </c>
      <c r="C358" s="90">
        <v>0</v>
      </c>
      <c r="D358" s="91">
        <v>0</v>
      </c>
      <c r="E358" s="92">
        <v>0</v>
      </c>
      <c r="F358" s="92">
        <v>0</v>
      </c>
      <c r="G358" s="92">
        <v>0</v>
      </c>
      <c r="H358" s="91">
        <v>0</v>
      </c>
      <c r="I358" s="91">
        <v>0</v>
      </c>
      <c r="J358" s="93">
        <v>0</v>
      </c>
      <c r="K358" s="93">
        <v>0</v>
      </c>
      <c r="L358" s="93">
        <v>0</v>
      </c>
      <c r="M358" s="93">
        <v>0</v>
      </c>
      <c r="N358" s="94">
        <v>0</v>
      </c>
      <c r="O358" s="94" t="str">
        <v/>
      </c>
      <c r="P358" s="93">
        <v>0</v>
      </c>
      <c r="Q358" s="92">
        <v>0</v>
      </c>
    </row>
    <row r="359" spans="2:17" x14ac:dyDescent="0.25">
      <c r="B359" s="92">
        <v>0</v>
      </c>
      <c r="C359" s="90">
        <v>0</v>
      </c>
      <c r="D359" s="91">
        <v>0</v>
      </c>
      <c r="E359" s="92">
        <v>0</v>
      </c>
      <c r="F359" s="92">
        <v>0</v>
      </c>
      <c r="G359" s="92">
        <v>0</v>
      </c>
      <c r="H359" s="91">
        <v>0</v>
      </c>
      <c r="I359" s="91">
        <v>0</v>
      </c>
      <c r="J359" s="93">
        <v>0</v>
      </c>
      <c r="K359" s="93">
        <v>0</v>
      </c>
      <c r="L359" s="93">
        <v>0</v>
      </c>
      <c r="M359" s="93">
        <v>0</v>
      </c>
      <c r="N359" s="94">
        <v>0</v>
      </c>
      <c r="O359" s="94" t="str">
        <v/>
      </c>
      <c r="P359" s="93">
        <v>0</v>
      </c>
      <c r="Q359" s="92">
        <v>0</v>
      </c>
    </row>
    <row r="360" spans="2:17" x14ac:dyDescent="0.25">
      <c r="B360" s="92">
        <v>0</v>
      </c>
      <c r="C360" s="90">
        <v>0</v>
      </c>
      <c r="D360" s="91">
        <v>0</v>
      </c>
      <c r="E360" s="92">
        <v>0</v>
      </c>
      <c r="F360" s="92">
        <v>0</v>
      </c>
      <c r="G360" s="92">
        <v>0</v>
      </c>
      <c r="H360" s="91">
        <v>0</v>
      </c>
      <c r="I360" s="91">
        <v>0</v>
      </c>
      <c r="J360" s="93">
        <v>0</v>
      </c>
      <c r="K360" s="93">
        <v>0</v>
      </c>
      <c r="L360" s="93">
        <v>0</v>
      </c>
      <c r="M360" s="93">
        <v>0</v>
      </c>
      <c r="N360" s="94">
        <v>0</v>
      </c>
      <c r="O360" s="94" t="str">
        <v/>
      </c>
      <c r="P360" s="93">
        <v>0</v>
      </c>
      <c r="Q360" s="92">
        <v>0</v>
      </c>
    </row>
    <row r="361" spans="2:17" x14ac:dyDescent="0.25">
      <c r="B361" s="92">
        <v>0</v>
      </c>
      <c r="C361" s="90">
        <v>0</v>
      </c>
      <c r="D361" s="91">
        <v>0</v>
      </c>
      <c r="E361" s="92">
        <v>0</v>
      </c>
      <c r="F361" s="92">
        <v>0</v>
      </c>
      <c r="G361" s="92">
        <v>0</v>
      </c>
      <c r="H361" s="91">
        <v>0</v>
      </c>
      <c r="I361" s="91">
        <v>0</v>
      </c>
      <c r="J361" s="93">
        <v>0</v>
      </c>
      <c r="K361" s="93">
        <v>0</v>
      </c>
      <c r="L361" s="93">
        <v>0</v>
      </c>
      <c r="M361" s="93">
        <v>0</v>
      </c>
      <c r="N361" s="94">
        <v>0</v>
      </c>
      <c r="O361" s="94" t="str">
        <v/>
      </c>
      <c r="P361" s="93">
        <v>0</v>
      </c>
      <c r="Q361" s="92">
        <v>0</v>
      </c>
    </row>
    <row r="362" spans="2:17" x14ac:dyDescent="0.25">
      <c r="B362" s="92">
        <v>0</v>
      </c>
      <c r="C362" s="90">
        <v>0</v>
      </c>
      <c r="D362" s="91">
        <v>0</v>
      </c>
      <c r="E362" s="92">
        <v>0</v>
      </c>
      <c r="F362" s="92">
        <v>0</v>
      </c>
      <c r="G362" s="92">
        <v>0</v>
      </c>
      <c r="H362" s="91">
        <v>0</v>
      </c>
      <c r="I362" s="91">
        <v>0</v>
      </c>
      <c r="J362" s="93">
        <v>0</v>
      </c>
      <c r="K362" s="93">
        <v>0</v>
      </c>
      <c r="L362" s="93">
        <v>0</v>
      </c>
      <c r="M362" s="93">
        <v>0</v>
      </c>
      <c r="N362" s="94">
        <v>0</v>
      </c>
      <c r="O362" s="94" t="str">
        <v/>
      </c>
      <c r="P362" s="93">
        <v>0</v>
      </c>
      <c r="Q362" s="92">
        <v>0</v>
      </c>
    </row>
    <row r="363" spans="2:17" x14ac:dyDescent="0.25">
      <c r="B363" s="92">
        <v>0</v>
      </c>
      <c r="C363" s="90">
        <v>0</v>
      </c>
      <c r="D363" s="91">
        <v>0</v>
      </c>
      <c r="E363" s="92">
        <v>0</v>
      </c>
      <c r="F363" s="92">
        <v>0</v>
      </c>
      <c r="G363" s="92">
        <v>0</v>
      </c>
      <c r="H363" s="91">
        <v>0</v>
      </c>
      <c r="I363" s="91">
        <v>0</v>
      </c>
      <c r="J363" s="93">
        <v>0</v>
      </c>
      <c r="K363" s="93">
        <v>0</v>
      </c>
      <c r="L363" s="93">
        <v>0</v>
      </c>
      <c r="M363" s="93">
        <v>0</v>
      </c>
      <c r="N363" s="94">
        <v>0</v>
      </c>
      <c r="O363" s="94" t="str">
        <v/>
      </c>
      <c r="P363" s="93">
        <v>0</v>
      </c>
      <c r="Q363" s="92">
        <v>0</v>
      </c>
    </row>
    <row r="364" spans="2:17" x14ac:dyDescent="0.25">
      <c r="B364" s="92">
        <v>0</v>
      </c>
      <c r="C364" s="90">
        <v>0</v>
      </c>
      <c r="D364" s="91">
        <v>0</v>
      </c>
      <c r="E364" s="92">
        <v>0</v>
      </c>
      <c r="F364" s="92">
        <v>0</v>
      </c>
      <c r="G364" s="92">
        <v>0</v>
      </c>
      <c r="H364" s="91">
        <v>0</v>
      </c>
      <c r="I364" s="91">
        <v>0</v>
      </c>
      <c r="J364" s="93">
        <v>0</v>
      </c>
      <c r="K364" s="93">
        <v>0</v>
      </c>
      <c r="L364" s="93">
        <v>0</v>
      </c>
      <c r="M364" s="93">
        <v>0</v>
      </c>
      <c r="N364" s="94">
        <v>0</v>
      </c>
      <c r="O364" s="94" t="str">
        <v/>
      </c>
      <c r="P364" s="93">
        <v>0</v>
      </c>
      <c r="Q364" s="92">
        <v>0</v>
      </c>
    </row>
    <row r="365" spans="2:17" x14ac:dyDescent="0.25">
      <c r="B365" s="92">
        <v>0</v>
      </c>
      <c r="C365" s="90">
        <v>0</v>
      </c>
      <c r="D365" s="91">
        <v>0</v>
      </c>
      <c r="E365" s="92">
        <v>0</v>
      </c>
      <c r="F365" s="92">
        <v>0</v>
      </c>
      <c r="G365" s="92">
        <v>0</v>
      </c>
      <c r="H365" s="91">
        <v>0</v>
      </c>
      <c r="I365" s="91">
        <v>0</v>
      </c>
      <c r="J365" s="93">
        <v>0</v>
      </c>
      <c r="K365" s="93">
        <v>0</v>
      </c>
      <c r="L365" s="93">
        <v>0</v>
      </c>
      <c r="M365" s="93">
        <v>0</v>
      </c>
      <c r="N365" s="94">
        <v>0</v>
      </c>
      <c r="O365" s="94" t="str">
        <v/>
      </c>
      <c r="P365" s="93">
        <v>0</v>
      </c>
      <c r="Q365" s="92">
        <v>0</v>
      </c>
    </row>
    <row r="366" spans="2:17" x14ac:dyDescent="0.25">
      <c r="B366" s="92">
        <v>0</v>
      </c>
      <c r="C366" s="90">
        <v>0</v>
      </c>
      <c r="D366" s="91">
        <v>0</v>
      </c>
      <c r="E366" s="92">
        <v>0</v>
      </c>
      <c r="F366" s="92">
        <v>0</v>
      </c>
      <c r="G366" s="92">
        <v>0</v>
      </c>
      <c r="H366" s="91">
        <v>0</v>
      </c>
      <c r="I366" s="91">
        <v>0</v>
      </c>
      <c r="J366" s="93">
        <v>0</v>
      </c>
      <c r="K366" s="93">
        <v>0</v>
      </c>
      <c r="L366" s="93">
        <v>0</v>
      </c>
      <c r="M366" s="93">
        <v>0</v>
      </c>
      <c r="N366" s="94">
        <v>0</v>
      </c>
      <c r="O366" s="94" t="str">
        <v/>
      </c>
      <c r="P366" s="93">
        <v>0</v>
      </c>
      <c r="Q366" s="92">
        <v>0</v>
      </c>
    </row>
    <row r="367" spans="2:17" x14ac:dyDescent="0.25">
      <c r="B367" s="92">
        <v>0</v>
      </c>
      <c r="C367" s="90">
        <v>0</v>
      </c>
      <c r="D367" s="91">
        <v>0</v>
      </c>
      <c r="E367" s="92">
        <v>0</v>
      </c>
      <c r="F367" s="92">
        <v>0</v>
      </c>
      <c r="G367" s="92">
        <v>0</v>
      </c>
      <c r="H367" s="91">
        <v>0</v>
      </c>
      <c r="I367" s="91">
        <v>0</v>
      </c>
      <c r="J367" s="93">
        <v>0</v>
      </c>
      <c r="K367" s="93">
        <v>0</v>
      </c>
      <c r="L367" s="93">
        <v>0</v>
      </c>
      <c r="M367" s="93">
        <v>0</v>
      </c>
      <c r="N367" s="94">
        <v>0</v>
      </c>
      <c r="O367" s="94" t="str">
        <v/>
      </c>
      <c r="P367" s="93">
        <v>0</v>
      </c>
      <c r="Q367" s="92">
        <v>0</v>
      </c>
    </row>
    <row r="368" spans="2:17" x14ac:dyDescent="0.25">
      <c r="B368" s="92">
        <v>0</v>
      </c>
      <c r="C368" s="90">
        <v>0</v>
      </c>
      <c r="D368" s="91">
        <v>0</v>
      </c>
      <c r="E368" s="92">
        <v>0</v>
      </c>
      <c r="F368" s="92">
        <v>0</v>
      </c>
      <c r="G368" s="92">
        <v>0</v>
      </c>
      <c r="H368" s="91">
        <v>0</v>
      </c>
      <c r="I368" s="91">
        <v>0</v>
      </c>
      <c r="J368" s="93">
        <v>0</v>
      </c>
      <c r="K368" s="93">
        <v>0</v>
      </c>
      <c r="L368" s="93">
        <v>0</v>
      </c>
      <c r="M368" s="93">
        <v>0</v>
      </c>
      <c r="N368" s="94">
        <v>0</v>
      </c>
      <c r="O368" s="94" t="str">
        <v/>
      </c>
      <c r="P368" s="93">
        <v>0</v>
      </c>
      <c r="Q368" s="92">
        <v>0</v>
      </c>
    </row>
    <row r="369" spans="2:17" x14ac:dyDescent="0.25">
      <c r="B369" s="92">
        <v>0</v>
      </c>
      <c r="C369" s="90">
        <v>0</v>
      </c>
      <c r="D369" s="91">
        <v>0</v>
      </c>
      <c r="E369" s="92">
        <v>0</v>
      </c>
      <c r="F369" s="92">
        <v>0</v>
      </c>
      <c r="G369" s="92">
        <v>0</v>
      </c>
      <c r="H369" s="91">
        <v>0</v>
      </c>
      <c r="I369" s="91">
        <v>0</v>
      </c>
      <c r="J369" s="93">
        <v>0</v>
      </c>
      <c r="K369" s="93">
        <v>0</v>
      </c>
      <c r="L369" s="93">
        <v>0</v>
      </c>
      <c r="M369" s="93">
        <v>0</v>
      </c>
      <c r="N369" s="94">
        <v>0</v>
      </c>
      <c r="O369" s="94" t="str">
        <v/>
      </c>
      <c r="P369" s="93">
        <v>0</v>
      </c>
      <c r="Q369" s="92">
        <v>0</v>
      </c>
    </row>
    <row r="370" spans="2:17" x14ac:dyDescent="0.25">
      <c r="B370" s="92">
        <v>0</v>
      </c>
      <c r="C370" s="90">
        <v>0</v>
      </c>
      <c r="D370" s="91">
        <v>0</v>
      </c>
      <c r="E370" s="92">
        <v>0</v>
      </c>
      <c r="F370" s="92">
        <v>0</v>
      </c>
      <c r="G370" s="92">
        <v>0</v>
      </c>
      <c r="H370" s="91">
        <v>0</v>
      </c>
      <c r="I370" s="91">
        <v>0</v>
      </c>
      <c r="J370" s="93">
        <v>0</v>
      </c>
      <c r="K370" s="93">
        <v>0</v>
      </c>
      <c r="L370" s="93">
        <v>0</v>
      </c>
      <c r="M370" s="93">
        <v>0</v>
      </c>
      <c r="N370" s="94">
        <v>0</v>
      </c>
      <c r="O370" s="94" t="str">
        <v/>
      </c>
      <c r="P370" s="93">
        <v>0</v>
      </c>
      <c r="Q370" s="92">
        <v>0</v>
      </c>
    </row>
    <row r="371" spans="2:17" x14ac:dyDescent="0.25">
      <c r="B371" s="92">
        <v>0</v>
      </c>
      <c r="C371" s="90">
        <v>0</v>
      </c>
      <c r="D371" s="91">
        <v>0</v>
      </c>
      <c r="E371" s="92">
        <v>0</v>
      </c>
      <c r="F371" s="92">
        <v>0</v>
      </c>
      <c r="G371" s="92">
        <v>0</v>
      </c>
      <c r="H371" s="91">
        <v>0</v>
      </c>
      <c r="I371" s="91">
        <v>0</v>
      </c>
      <c r="J371" s="93">
        <v>0</v>
      </c>
      <c r="K371" s="93">
        <v>0</v>
      </c>
      <c r="L371" s="93">
        <v>0</v>
      </c>
      <c r="M371" s="93">
        <v>0</v>
      </c>
      <c r="N371" s="94">
        <v>0</v>
      </c>
      <c r="O371" s="94" t="str">
        <v/>
      </c>
      <c r="P371" s="93">
        <v>0</v>
      </c>
      <c r="Q371" s="92">
        <v>0</v>
      </c>
    </row>
    <row r="372" spans="2:17" x14ac:dyDescent="0.25">
      <c r="B372" s="92">
        <v>0</v>
      </c>
      <c r="C372" s="90">
        <v>0</v>
      </c>
      <c r="D372" s="91">
        <v>0</v>
      </c>
      <c r="E372" s="92">
        <v>0</v>
      </c>
      <c r="F372" s="92">
        <v>0</v>
      </c>
      <c r="G372" s="92">
        <v>0</v>
      </c>
      <c r="H372" s="91">
        <v>0</v>
      </c>
      <c r="I372" s="91">
        <v>0</v>
      </c>
      <c r="J372" s="93">
        <v>0</v>
      </c>
      <c r="K372" s="93">
        <v>0</v>
      </c>
      <c r="L372" s="93">
        <v>0</v>
      </c>
      <c r="M372" s="93">
        <v>0</v>
      </c>
      <c r="N372" s="94">
        <v>0</v>
      </c>
      <c r="O372" s="94" t="str">
        <v/>
      </c>
      <c r="P372" s="93">
        <v>0</v>
      </c>
      <c r="Q372" s="92">
        <v>0</v>
      </c>
    </row>
    <row r="373" spans="2:17" x14ac:dyDescent="0.25">
      <c r="B373" s="92">
        <v>0</v>
      </c>
      <c r="C373" s="90">
        <v>0</v>
      </c>
      <c r="D373" s="91">
        <v>0</v>
      </c>
      <c r="E373" s="92">
        <v>0</v>
      </c>
      <c r="F373" s="92">
        <v>0</v>
      </c>
      <c r="G373" s="92">
        <v>0</v>
      </c>
      <c r="H373" s="91">
        <v>0</v>
      </c>
      <c r="I373" s="91">
        <v>0</v>
      </c>
      <c r="J373" s="93">
        <v>0</v>
      </c>
      <c r="K373" s="93">
        <v>0</v>
      </c>
      <c r="L373" s="93">
        <v>0</v>
      </c>
      <c r="M373" s="93">
        <v>0</v>
      </c>
      <c r="N373" s="94">
        <v>0</v>
      </c>
      <c r="O373" s="94" t="str">
        <v/>
      </c>
      <c r="P373" s="93">
        <v>0</v>
      </c>
      <c r="Q373" s="92">
        <v>0</v>
      </c>
    </row>
    <row r="374" spans="2:17" x14ac:dyDescent="0.25">
      <c r="B374" s="92">
        <v>0</v>
      </c>
      <c r="C374" s="90">
        <v>0</v>
      </c>
      <c r="D374" s="91">
        <v>0</v>
      </c>
      <c r="E374" s="92">
        <v>0</v>
      </c>
      <c r="F374" s="92">
        <v>0</v>
      </c>
      <c r="G374" s="92">
        <v>0</v>
      </c>
      <c r="H374" s="91">
        <v>0</v>
      </c>
      <c r="I374" s="91">
        <v>0</v>
      </c>
      <c r="J374" s="93">
        <v>0</v>
      </c>
      <c r="K374" s="93">
        <v>0</v>
      </c>
      <c r="L374" s="93">
        <v>0</v>
      </c>
      <c r="M374" s="93">
        <v>0</v>
      </c>
      <c r="N374" s="94">
        <v>0</v>
      </c>
      <c r="O374" s="94" t="str">
        <v/>
      </c>
      <c r="P374" s="93">
        <v>0</v>
      </c>
      <c r="Q374" s="92">
        <v>0</v>
      </c>
    </row>
    <row r="375" spans="2:17" x14ac:dyDescent="0.25">
      <c r="B375" s="92">
        <v>0</v>
      </c>
      <c r="C375" s="90">
        <v>0</v>
      </c>
      <c r="D375" s="91">
        <v>0</v>
      </c>
      <c r="E375" s="92">
        <v>0</v>
      </c>
      <c r="F375" s="92">
        <v>0</v>
      </c>
      <c r="G375" s="92">
        <v>0</v>
      </c>
      <c r="H375" s="91">
        <v>0</v>
      </c>
      <c r="I375" s="91">
        <v>0</v>
      </c>
      <c r="J375" s="93">
        <v>0</v>
      </c>
      <c r="K375" s="93">
        <v>0</v>
      </c>
      <c r="L375" s="93">
        <v>0</v>
      </c>
      <c r="M375" s="93">
        <v>0</v>
      </c>
      <c r="N375" s="94">
        <v>0</v>
      </c>
      <c r="O375" s="94" t="str">
        <v/>
      </c>
      <c r="P375" s="93">
        <v>0</v>
      </c>
      <c r="Q375" s="92">
        <v>0</v>
      </c>
    </row>
    <row r="376" spans="2:17" x14ac:dyDescent="0.25">
      <c r="B376" s="92">
        <v>0</v>
      </c>
      <c r="C376" s="90">
        <v>0</v>
      </c>
      <c r="D376" s="91">
        <v>0</v>
      </c>
      <c r="E376" s="92">
        <v>0</v>
      </c>
      <c r="F376" s="92">
        <v>0</v>
      </c>
      <c r="G376" s="92">
        <v>0</v>
      </c>
      <c r="H376" s="91">
        <v>0</v>
      </c>
      <c r="I376" s="91">
        <v>0</v>
      </c>
      <c r="J376" s="93">
        <v>0</v>
      </c>
      <c r="K376" s="93">
        <v>0</v>
      </c>
      <c r="L376" s="93">
        <v>0</v>
      </c>
      <c r="M376" s="93">
        <v>0</v>
      </c>
      <c r="N376" s="94">
        <v>0</v>
      </c>
      <c r="O376" s="94" t="str">
        <v/>
      </c>
      <c r="P376" s="93">
        <v>0</v>
      </c>
      <c r="Q376" s="92">
        <v>0</v>
      </c>
    </row>
    <row r="377" spans="2:17" x14ac:dyDescent="0.25">
      <c r="B377" s="92">
        <v>0</v>
      </c>
      <c r="C377" s="90">
        <v>0</v>
      </c>
      <c r="D377" s="91">
        <v>0</v>
      </c>
      <c r="E377" s="92">
        <v>0</v>
      </c>
      <c r="F377" s="92">
        <v>0</v>
      </c>
      <c r="G377" s="92">
        <v>0</v>
      </c>
      <c r="H377" s="91">
        <v>0</v>
      </c>
      <c r="I377" s="91">
        <v>0</v>
      </c>
      <c r="J377" s="93">
        <v>0</v>
      </c>
      <c r="K377" s="93">
        <v>0</v>
      </c>
      <c r="L377" s="93">
        <v>0</v>
      </c>
      <c r="M377" s="93">
        <v>0</v>
      </c>
      <c r="N377" s="94">
        <v>0</v>
      </c>
      <c r="O377" s="94" t="str">
        <v/>
      </c>
      <c r="P377" s="93">
        <v>0</v>
      </c>
      <c r="Q377" s="92">
        <v>0</v>
      </c>
    </row>
    <row r="378" spans="2:17" x14ac:dyDescent="0.25">
      <c r="B378" s="92">
        <v>0</v>
      </c>
      <c r="C378" s="90">
        <v>0</v>
      </c>
      <c r="D378" s="91">
        <v>0</v>
      </c>
      <c r="E378" s="92">
        <v>0</v>
      </c>
      <c r="F378" s="92">
        <v>0</v>
      </c>
      <c r="G378" s="92">
        <v>0</v>
      </c>
      <c r="H378" s="91">
        <v>0</v>
      </c>
      <c r="I378" s="91">
        <v>0</v>
      </c>
      <c r="J378" s="93">
        <v>0</v>
      </c>
      <c r="K378" s="93">
        <v>0</v>
      </c>
      <c r="L378" s="93">
        <v>0</v>
      </c>
      <c r="M378" s="93">
        <v>0</v>
      </c>
      <c r="N378" s="94">
        <v>0</v>
      </c>
      <c r="O378" s="94" t="str">
        <v/>
      </c>
      <c r="P378" s="93">
        <v>0</v>
      </c>
      <c r="Q378" s="92">
        <v>0</v>
      </c>
    </row>
    <row r="379" spans="2:17" x14ac:dyDescent="0.25">
      <c r="B379" s="92">
        <v>0</v>
      </c>
      <c r="C379" s="90">
        <v>0</v>
      </c>
      <c r="D379" s="91">
        <v>0</v>
      </c>
      <c r="E379" s="92">
        <v>0</v>
      </c>
      <c r="F379" s="92">
        <v>0</v>
      </c>
      <c r="G379" s="92">
        <v>0</v>
      </c>
      <c r="H379" s="91">
        <v>0</v>
      </c>
      <c r="I379" s="91">
        <v>0</v>
      </c>
      <c r="J379" s="93">
        <v>0</v>
      </c>
      <c r="K379" s="93">
        <v>0</v>
      </c>
      <c r="L379" s="93">
        <v>0</v>
      </c>
      <c r="M379" s="93">
        <v>0</v>
      </c>
      <c r="N379" s="94">
        <v>0</v>
      </c>
      <c r="O379" s="94" t="str">
        <v/>
      </c>
      <c r="P379" s="93">
        <v>0</v>
      </c>
      <c r="Q379" s="92">
        <v>0</v>
      </c>
    </row>
    <row r="380" spans="2:17" x14ac:dyDescent="0.25">
      <c r="B380" s="92">
        <v>0</v>
      </c>
      <c r="C380" s="90">
        <v>0</v>
      </c>
      <c r="D380" s="91">
        <v>0</v>
      </c>
      <c r="E380" s="92">
        <v>0</v>
      </c>
      <c r="F380" s="92">
        <v>0</v>
      </c>
      <c r="G380" s="92">
        <v>0</v>
      </c>
      <c r="H380" s="91">
        <v>0</v>
      </c>
      <c r="I380" s="91">
        <v>0</v>
      </c>
      <c r="J380" s="93">
        <v>0</v>
      </c>
      <c r="K380" s="93">
        <v>0</v>
      </c>
      <c r="L380" s="93">
        <v>0</v>
      </c>
      <c r="M380" s="93">
        <v>0</v>
      </c>
      <c r="N380" s="94">
        <v>0</v>
      </c>
      <c r="O380" s="94" t="str">
        <v/>
      </c>
      <c r="P380" s="93">
        <v>0</v>
      </c>
      <c r="Q380" s="92">
        <v>0</v>
      </c>
    </row>
    <row r="381" spans="2:17" x14ac:dyDescent="0.25">
      <c r="B381" s="92">
        <v>0</v>
      </c>
      <c r="C381" s="90">
        <v>0</v>
      </c>
      <c r="D381" s="91">
        <v>0</v>
      </c>
      <c r="E381" s="92">
        <v>0</v>
      </c>
      <c r="F381" s="92">
        <v>0</v>
      </c>
      <c r="G381" s="92">
        <v>0</v>
      </c>
      <c r="H381" s="91">
        <v>0</v>
      </c>
      <c r="I381" s="91">
        <v>0</v>
      </c>
      <c r="J381" s="93">
        <v>0</v>
      </c>
      <c r="K381" s="93">
        <v>0</v>
      </c>
      <c r="L381" s="93">
        <v>0</v>
      </c>
      <c r="M381" s="93">
        <v>0</v>
      </c>
      <c r="N381" s="94">
        <v>0</v>
      </c>
      <c r="O381" s="94" t="str">
        <v/>
      </c>
      <c r="P381" s="93">
        <v>0</v>
      </c>
      <c r="Q381" s="92">
        <v>0</v>
      </c>
    </row>
    <row r="382" spans="2:17" x14ac:dyDescent="0.25">
      <c r="B382" s="92">
        <v>0</v>
      </c>
      <c r="C382" s="90">
        <v>0</v>
      </c>
      <c r="D382" s="91">
        <v>0</v>
      </c>
      <c r="E382" s="92">
        <v>0</v>
      </c>
      <c r="F382" s="92">
        <v>0</v>
      </c>
      <c r="G382" s="92">
        <v>0</v>
      </c>
      <c r="H382" s="91">
        <v>0</v>
      </c>
      <c r="I382" s="91">
        <v>0</v>
      </c>
      <c r="J382" s="93">
        <v>0</v>
      </c>
      <c r="K382" s="93">
        <v>0</v>
      </c>
      <c r="L382" s="93">
        <v>0</v>
      </c>
      <c r="M382" s="93">
        <v>0</v>
      </c>
      <c r="N382" s="94">
        <v>0</v>
      </c>
      <c r="O382" s="94" t="str">
        <v/>
      </c>
      <c r="P382" s="93">
        <v>0</v>
      </c>
      <c r="Q382" s="92">
        <v>0</v>
      </c>
    </row>
    <row r="383" spans="2:17" x14ac:dyDescent="0.25">
      <c r="B383" s="92">
        <v>0</v>
      </c>
      <c r="C383" s="90">
        <v>0</v>
      </c>
      <c r="D383" s="91">
        <v>0</v>
      </c>
      <c r="E383" s="92">
        <v>0</v>
      </c>
      <c r="F383" s="92">
        <v>0</v>
      </c>
      <c r="G383" s="92">
        <v>0</v>
      </c>
      <c r="H383" s="91">
        <v>0</v>
      </c>
      <c r="I383" s="91">
        <v>0</v>
      </c>
      <c r="J383" s="93">
        <v>0</v>
      </c>
      <c r="K383" s="93">
        <v>0</v>
      </c>
      <c r="L383" s="93">
        <v>0</v>
      </c>
      <c r="M383" s="93">
        <v>0</v>
      </c>
      <c r="N383" s="94">
        <v>0</v>
      </c>
      <c r="O383" s="94" t="str">
        <v/>
      </c>
      <c r="P383" s="93">
        <v>0</v>
      </c>
      <c r="Q383" s="92">
        <v>0</v>
      </c>
    </row>
    <row r="384" spans="2:17" x14ac:dyDescent="0.25">
      <c r="B384" s="92">
        <v>0</v>
      </c>
      <c r="C384" s="90">
        <v>0</v>
      </c>
      <c r="D384" s="91">
        <v>0</v>
      </c>
      <c r="E384" s="92">
        <v>0</v>
      </c>
      <c r="F384" s="92">
        <v>0</v>
      </c>
      <c r="G384" s="92">
        <v>0</v>
      </c>
      <c r="H384" s="91">
        <v>0</v>
      </c>
      <c r="I384" s="91">
        <v>0</v>
      </c>
      <c r="J384" s="93">
        <v>0</v>
      </c>
      <c r="K384" s="93">
        <v>0</v>
      </c>
      <c r="L384" s="93">
        <v>0</v>
      </c>
      <c r="M384" s="93">
        <v>0</v>
      </c>
      <c r="N384" s="94">
        <v>0</v>
      </c>
      <c r="O384" s="94" t="str">
        <v/>
      </c>
      <c r="P384" s="93">
        <v>0</v>
      </c>
      <c r="Q384" s="92">
        <v>0</v>
      </c>
    </row>
    <row r="385" spans="2:17" x14ac:dyDescent="0.25">
      <c r="B385" s="92">
        <v>0</v>
      </c>
      <c r="C385" s="90">
        <v>0</v>
      </c>
      <c r="D385" s="91">
        <v>0</v>
      </c>
      <c r="E385" s="92">
        <v>0</v>
      </c>
      <c r="F385" s="92">
        <v>0</v>
      </c>
      <c r="G385" s="92">
        <v>0</v>
      </c>
      <c r="H385" s="91">
        <v>0</v>
      </c>
      <c r="I385" s="91">
        <v>0</v>
      </c>
      <c r="J385" s="93">
        <v>0</v>
      </c>
      <c r="K385" s="93">
        <v>0</v>
      </c>
      <c r="L385" s="93">
        <v>0</v>
      </c>
      <c r="M385" s="93">
        <v>0</v>
      </c>
      <c r="N385" s="94">
        <v>0</v>
      </c>
      <c r="O385" s="94" t="str">
        <v/>
      </c>
      <c r="P385" s="93">
        <v>0</v>
      </c>
      <c r="Q385" s="92">
        <v>0</v>
      </c>
    </row>
    <row r="386" spans="2:17" x14ac:dyDescent="0.25">
      <c r="B386" s="92">
        <v>0</v>
      </c>
      <c r="C386" s="90">
        <v>0</v>
      </c>
      <c r="D386" s="91">
        <v>0</v>
      </c>
      <c r="E386" s="92">
        <v>0</v>
      </c>
      <c r="F386" s="92">
        <v>0</v>
      </c>
      <c r="G386" s="92">
        <v>0</v>
      </c>
      <c r="H386" s="91">
        <v>0</v>
      </c>
      <c r="I386" s="91">
        <v>0</v>
      </c>
      <c r="J386" s="93">
        <v>0</v>
      </c>
      <c r="K386" s="93">
        <v>0</v>
      </c>
      <c r="L386" s="93">
        <v>0</v>
      </c>
      <c r="M386" s="93">
        <v>0</v>
      </c>
      <c r="N386" s="94">
        <v>0</v>
      </c>
      <c r="O386" s="94" t="str">
        <v/>
      </c>
      <c r="P386" s="93">
        <v>0</v>
      </c>
      <c r="Q386" s="92">
        <v>0</v>
      </c>
    </row>
    <row r="387" spans="2:17" x14ac:dyDescent="0.25">
      <c r="B387" s="92">
        <v>0</v>
      </c>
      <c r="C387" s="90">
        <v>0</v>
      </c>
      <c r="D387" s="91">
        <v>0</v>
      </c>
      <c r="E387" s="92">
        <v>0</v>
      </c>
      <c r="F387" s="92">
        <v>0</v>
      </c>
      <c r="G387" s="92">
        <v>0</v>
      </c>
      <c r="H387" s="91">
        <v>0</v>
      </c>
      <c r="I387" s="91">
        <v>0</v>
      </c>
      <c r="J387" s="93">
        <v>0</v>
      </c>
      <c r="K387" s="93">
        <v>0</v>
      </c>
      <c r="L387" s="93">
        <v>0</v>
      </c>
      <c r="M387" s="93">
        <v>0</v>
      </c>
      <c r="N387" s="94">
        <v>0</v>
      </c>
      <c r="O387" s="94" t="str">
        <v/>
      </c>
      <c r="P387" s="93">
        <v>0</v>
      </c>
      <c r="Q387" s="92">
        <v>0</v>
      </c>
    </row>
    <row r="388" spans="2:17" x14ac:dyDescent="0.25">
      <c r="B388" s="92">
        <v>0</v>
      </c>
      <c r="C388" s="90">
        <v>0</v>
      </c>
      <c r="D388" s="91">
        <v>0</v>
      </c>
      <c r="E388" s="92">
        <v>0</v>
      </c>
      <c r="F388" s="92">
        <v>0</v>
      </c>
      <c r="G388" s="92">
        <v>0</v>
      </c>
      <c r="H388" s="91">
        <v>0</v>
      </c>
      <c r="I388" s="91">
        <v>0</v>
      </c>
      <c r="J388" s="93">
        <v>0</v>
      </c>
      <c r="K388" s="93">
        <v>0</v>
      </c>
      <c r="L388" s="93">
        <v>0</v>
      </c>
      <c r="M388" s="93">
        <v>0</v>
      </c>
      <c r="N388" s="94">
        <v>0</v>
      </c>
      <c r="O388" s="94" t="str">
        <v/>
      </c>
      <c r="P388" s="93">
        <v>0</v>
      </c>
      <c r="Q388" s="92">
        <v>0</v>
      </c>
    </row>
    <row r="389" spans="2:17" x14ac:dyDescent="0.25">
      <c r="B389" s="92">
        <v>0</v>
      </c>
      <c r="C389" s="90">
        <v>0</v>
      </c>
      <c r="D389" s="91">
        <v>0</v>
      </c>
      <c r="E389" s="92">
        <v>0</v>
      </c>
      <c r="F389" s="92">
        <v>0</v>
      </c>
      <c r="G389" s="92">
        <v>0</v>
      </c>
      <c r="H389" s="91">
        <v>0</v>
      </c>
      <c r="I389" s="91">
        <v>0</v>
      </c>
      <c r="J389" s="93">
        <v>0</v>
      </c>
      <c r="K389" s="93">
        <v>0</v>
      </c>
      <c r="L389" s="93">
        <v>0</v>
      </c>
      <c r="M389" s="93">
        <v>0</v>
      </c>
      <c r="N389" s="94">
        <v>0</v>
      </c>
      <c r="O389" s="94" t="str">
        <v/>
      </c>
      <c r="P389" s="93">
        <v>0</v>
      </c>
      <c r="Q389" s="92">
        <v>0</v>
      </c>
    </row>
    <row r="390" spans="2:17" x14ac:dyDescent="0.25">
      <c r="B390" s="92">
        <v>0</v>
      </c>
      <c r="C390" s="90">
        <v>0</v>
      </c>
      <c r="D390" s="91">
        <v>0</v>
      </c>
      <c r="E390" s="92">
        <v>0</v>
      </c>
      <c r="F390" s="92">
        <v>0</v>
      </c>
      <c r="G390" s="92">
        <v>0</v>
      </c>
      <c r="H390" s="91">
        <v>0</v>
      </c>
      <c r="I390" s="91">
        <v>0</v>
      </c>
      <c r="J390" s="93">
        <v>0</v>
      </c>
      <c r="K390" s="93">
        <v>0</v>
      </c>
      <c r="L390" s="93">
        <v>0</v>
      </c>
      <c r="M390" s="93">
        <v>0</v>
      </c>
      <c r="N390" s="94">
        <v>0</v>
      </c>
      <c r="O390" s="94" t="str">
        <v/>
      </c>
      <c r="P390" s="93">
        <v>0</v>
      </c>
      <c r="Q390" s="92">
        <v>0</v>
      </c>
    </row>
    <row r="391" spans="2:17" x14ac:dyDescent="0.25">
      <c r="B391" s="92">
        <v>0</v>
      </c>
      <c r="C391" s="90">
        <v>0</v>
      </c>
      <c r="D391" s="91">
        <v>0</v>
      </c>
      <c r="E391" s="92">
        <v>0</v>
      </c>
      <c r="F391" s="92">
        <v>0</v>
      </c>
      <c r="G391" s="92">
        <v>0</v>
      </c>
      <c r="H391" s="91">
        <v>0</v>
      </c>
      <c r="I391" s="91">
        <v>0</v>
      </c>
      <c r="J391" s="93">
        <v>0</v>
      </c>
      <c r="K391" s="93">
        <v>0</v>
      </c>
      <c r="L391" s="93">
        <v>0</v>
      </c>
      <c r="M391" s="93">
        <v>0</v>
      </c>
      <c r="N391" s="94">
        <v>0</v>
      </c>
      <c r="O391" s="94" t="str">
        <v/>
      </c>
      <c r="P391" s="93">
        <v>0</v>
      </c>
      <c r="Q391" s="92">
        <v>0</v>
      </c>
    </row>
    <row r="392" spans="2:17" x14ac:dyDescent="0.25">
      <c r="B392" s="92">
        <v>0</v>
      </c>
      <c r="C392" s="90">
        <v>0</v>
      </c>
      <c r="D392" s="91">
        <v>0</v>
      </c>
      <c r="E392" s="92">
        <v>0</v>
      </c>
      <c r="F392" s="92">
        <v>0</v>
      </c>
      <c r="G392" s="92">
        <v>0</v>
      </c>
      <c r="H392" s="91">
        <v>0</v>
      </c>
      <c r="I392" s="91">
        <v>0</v>
      </c>
      <c r="J392" s="93">
        <v>0</v>
      </c>
      <c r="K392" s="93">
        <v>0</v>
      </c>
      <c r="L392" s="93">
        <v>0</v>
      </c>
      <c r="M392" s="93">
        <v>0</v>
      </c>
      <c r="N392" s="94">
        <v>0</v>
      </c>
      <c r="O392" s="94" t="str">
        <v/>
      </c>
      <c r="P392" s="93">
        <v>0</v>
      </c>
      <c r="Q392" s="92">
        <v>0</v>
      </c>
    </row>
    <row r="393" spans="2:17" x14ac:dyDescent="0.25">
      <c r="B393" s="92">
        <v>0</v>
      </c>
      <c r="C393" s="90">
        <v>0</v>
      </c>
      <c r="D393" s="91">
        <v>0</v>
      </c>
      <c r="E393" s="92">
        <v>0</v>
      </c>
      <c r="F393" s="92">
        <v>0</v>
      </c>
      <c r="G393" s="92">
        <v>0</v>
      </c>
      <c r="H393" s="91">
        <v>0</v>
      </c>
      <c r="I393" s="91">
        <v>0</v>
      </c>
      <c r="J393" s="93">
        <v>0</v>
      </c>
      <c r="K393" s="93">
        <v>0</v>
      </c>
      <c r="L393" s="93">
        <v>0</v>
      </c>
      <c r="M393" s="93">
        <v>0</v>
      </c>
      <c r="N393" s="94">
        <v>0</v>
      </c>
      <c r="O393" s="94" t="str">
        <v/>
      </c>
      <c r="P393" s="93">
        <v>0</v>
      </c>
      <c r="Q393" s="92">
        <v>0</v>
      </c>
    </row>
    <row r="394" spans="2:17" x14ac:dyDescent="0.25">
      <c r="B394" s="92">
        <v>0</v>
      </c>
      <c r="C394" s="90">
        <v>0</v>
      </c>
      <c r="D394" s="91">
        <v>0</v>
      </c>
      <c r="E394" s="92">
        <v>0</v>
      </c>
      <c r="F394" s="92">
        <v>0</v>
      </c>
      <c r="G394" s="92">
        <v>0</v>
      </c>
      <c r="H394" s="91">
        <v>0</v>
      </c>
      <c r="I394" s="91">
        <v>0</v>
      </c>
      <c r="J394" s="93">
        <v>0</v>
      </c>
      <c r="K394" s="93">
        <v>0</v>
      </c>
      <c r="L394" s="93">
        <v>0</v>
      </c>
      <c r="M394" s="93">
        <v>0</v>
      </c>
      <c r="N394" s="94">
        <v>0</v>
      </c>
      <c r="O394" s="94" t="str">
        <v/>
      </c>
      <c r="P394" s="93">
        <v>0</v>
      </c>
      <c r="Q394" s="92">
        <v>0</v>
      </c>
    </row>
    <row r="395" spans="2:17" x14ac:dyDescent="0.25">
      <c r="B395" s="92">
        <v>0</v>
      </c>
      <c r="C395" s="90">
        <v>0</v>
      </c>
      <c r="D395" s="91">
        <v>0</v>
      </c>
      <c r="E395" s="92">
        <v>0</v>
      </c>
      <c r="F395" s="92">
        <v>0</v>
      </c>
      <c r="G395" s="92">
        <v>0</v>
      </c>
      <c r="H395" s="91">
        <v>0</v>
      </c>
      <c r="I395" s="91">
        <v>0</v>
      </c>
      <c r="J395" s="93">
        <v>0</v>
      </c>
      <c r="K395" s="93">
        <v>0</v>
      </c>
      <c r="L395" s="93">
        <v>0</v>
      </c>
      <c r="M395" s="93">
        <v>0</v>
      </c>
      <c r="N395" s="94">
        <v>0</v>
      </c>
      <c r="O395" s="94" t="str">
        <v/>
      </c>
      <c r="P395" s="93">
        <v>0</v>
      </c>
      <c r="Q395" s="92">
        <v>0</v>
      </c>
    </row>
    <row r="396" spans="2:17" x14ac:dyDescent="0.25">
      <c r="B396" s="92">
        <v>0</v>
      </c>
      <c r="C396" s="90">
        <v>0</v>
      </c>
      <c r="D396" s="91">
        <v>0</v>
      </c>
      <c r="E396" s="92">
        <v>0</v>
      </c>
      <c r="F396" s="92">
        <v>0</v>
      </c>
      <c r="G396" s="92">
        <v>0</v>
      </c>
      <c r="H396" s="91">
        <v>0</v>
      </c>
      <c r="I396" s="91">
        <v>0</v>
      </c>
      <c r="J396" s="93">
        <v>0</v>
      </c>
      <c r="K396" s="93">
        <v>0</v>
      </c>
      <c r="L396" s="93">
        <v>0</v>
      </c>
      <c r="M396" s="93">
        <v>0</v>
      </c>
      <c r="N396" s="94">
        <v>0</v>
      </c>
      <c r="O396" s="94" t="str">
        <v/>
      </c>
      <c r="P396" s="93">
        <v>0</v>
      </c>
      <c r="Q396" s="92">
        <v>0</v>
      </c>
    </row>
    <row r="397" spans="2:17" x14ac:dyDescent="0.25">
      <c r="B397" s="92">
        <v>0</v>
      </c>
      <c r="C397" s="90">
        <v>0</v>
      </c>
      <c r="D397" s="91">
        <v>0</v>
      </c>
      <c r="E397" s="92">
        <v>0</v>
      </c>
      <c r="F397" s="92">
        <v>0</v>
      </c>
      <c r="G397" s="92">
        <v>0</v>
      </c>
      <c r="H397" s="91">
        <v>0</v>
      </c>
      <c r="I397" s="91">
        <v>0</v>
      </c>
      <c r="J397" s="93">
        <v>0</v>
      </c>
      <c r="K397" s="93">
        <v>0</v>
      </c>
      <c r="L397" s="93">
        <v>0</v>
      </c>
      <c r="M397" s="93">
        <v>0</v>
      </c>
      <c r="N397" s="94">
        <v>0</v>
      </c>
      <c r="O397" s="94" t="str">
        <v/>
      </c>
      <c r="P397" s="93">
        <v>0</v>
      </c>
      <c r="Q397" s="92">
        <v>0</v>
      </c>
    </row>
    <row r="398" spans="2:17" x14ac:dyDescent="0.25">
      <c r="B398" s="92">
        <v>0</v>
      </c>
      <c r="C398" s="90">
        <v>0</v>
      </c>
      <c r="D398" s="91">
        <v>0</v>
      </c>
      <c r="E398" s="92">
        <v>0</v>
      </c>
      <c r="F398" s="92">
        <v>0</v>
      </c>
      <c r="G398" s="92">
        <v>0</v>
      </c>
      <c r="H398" s="91">
        <v>0</v>
      </c>
      <c r="I398" s="91">
        <v>0</v>
      </c>
      <c r="J398" s="93">
        <v>0</v>
      </c>
      <c r="K398" s="93">
        <v>0</v>
      </c>
      <c r="L398" s="93">
        <v>0</v>
      </c>
      <c r="M398" s="93">
        <v>0</v>
      </c>
      <c r="N398" s="94">
        <v>0</v>
      </c>
      <c r="O398" s="94" t="str">
        <v/>
      </c>
      <c r="P398" s="93">
        <v>0</v>
      </c>
      <c r="Q398" s="92">
        <v>0</v>
      </c>
    </row>
    <row r="399" spans="2:17" x14ac:dyDescent="0.25">
      <c r="B399" s="92">
        <v>0</v>
      </c>
      <c r="C399" s="90">
        <v>0</v>
      </c>
      <c r="D399" s="91">
        <v>0</v>
      </c>
      <c r="E399" s="92">
        <v>0</v>
      </c>
      <c r="F399" s="92">
        <v>0</v>
      </c>
      <c r="G399" s="92">
        <v>0</v>
      </c>
      <c r="H399" s="91">
        <v>0</v>
      </c>
      <c r="I399" s="91">
        <v>0</v>
      </c>
      <c r="J399" s="93">
        <v>0</v>
      </c>
      <c r="K399" s="93">
        <v>0</v>
      </c>
      <c r="L399" s="93">
        <v>0</v>
      </c>
      <c r="M399" s="93">
        <v>0</v>
      </c>
      <c r="N399" s="94">
        <v>0</v>
      </c>
      <c r="O399" s="94" t="str">
        <v/>
      </c>
      <c r="P399" s="93">
        <v>0</v>
      </c>
      <c r="Q399" s="92">
        <v>0</v>
      </c>
    </row>
    <row r="400" spans="2:17" x14ac:dyDescent="0.25">
      <c r="B400" s="92">
        <v>0</v>
      </c>
      <c r="C400" s="90">
        <v>0</v>
      </c>
      <c r="D400" s="91">
        <v>0</v>
      </c>
      <c r="E400" s="92">
        <v>0</v>
      </c>
      <c r="F400" s="92">
        <v>0</v>
      </c>
      <c r="G400" s="92">
        <v>0</v>
      </c>
      <c r="H400" s="91">
        <v>0</v>
      </c>
      <c r="I400" s="91">
        <v>0</v>
      </c>
      <c r="J400" s="93">
        <v>0</v>
      </c>
      <c r="K400" s="93">
        <v>0</v>
      </c>
      <c r="L400" s="93">
        <v>0</v>
      </c>
      <c r="M400" s="93">
        <v>0</v>
      </c>
      <c r="N400" s="94">
        <v>0</v>
      </c>
      <c r="O400" s="94" t="str">
        <v/>
      </c>
      <c r="P400" s="93">
        <v>0</v>
      </c>
      <c r="Q400" s="92">
        <v>0</v>
      </c>
    </row>
    <row r="401" spans="2:17" x14ac:dyDescent="0.25">
      <c r="B401" s="92">
        <v>0</v>
      </c>
      <c r="C401" s="90">
        <v>0</v>
      </c>
      <c r="D401" s="91">
        <v>0</v>
      </c>
      <c r="E401" s="92">
        <v>0</v>
      </c>
      <c r="F401" s="92">
        <v>0</v>
      </c>
      <c r="G401" s="92">
        <v>0</v>
      </c>
      <c r="H401" s="91">
        <v>0</v>
      </c>
      <c r="I401" s="91">
        <v>0</v>
      </c>
      <c r="J401" s="93">
        <v>0</v>
      </c>
      <c r="K401" s="93">
        <v>0</v>
      </c>
      <c r="L401" s="93">
        <v>0</v>
      </c>
      <c r="M401" s="93">
        <v>0</v>
      </c>
      <c r="N401" s="94">
        <v>0</v>
      </c>
      <c r="O401" s="94" t="str">
        <v/>
      </c>
      <c r="P401" s="93">
        <v>0</v>
      </c>
      <c r="Q401" s="92">
        <v>0</v>
      </c>
    </row>
    <row r="402" spans="2:17" x14ac:dyDescent="0.25">
      <c r="B402" s="92">
        <v>0</v>
      </c>
      <c r="C402" s="90">
        <v>0</v>
      </c>
      <c r="D402" s="91">
        <v>0</v>
      </c>
      <c r="E402" s="92">
        <v>0</v>
      </c>
      <c r="F402" s="92">
        <v>0</v>
      </c>
      <c r="G402" s="92">
        <v>0</v>
      </c>
      <c r="H402" s="91">
        <v>0</v>
      </c>
      <c r="I402" s="91">
        <v>0</v>
      </c>
      <c r="J402" s="93">
        <v>0</v>
      </c>
      <c r="K402" s="93">
        <v>0</v>
      </c>
      <c r="L402" s="93">
        <v>0</v>
      </c>
      <c r="M402" s="93">
        <v>0</v>
      </c>
      <c r="N402" s="94">
        <v>0</v>
      </c>
      <c r="O402" s="94" t="str">
        <v/>
      </c>
      <c r="P402" s="93">
        <v>0</v>
      </c>
      <c r="Q402" s="92">
        <v>0</v>
      </c>
    </row>
    <row r="403" spans="2:17" x14ac:dyDescent="0.25">
      <c r="B403" s="92">
        <v>0</v>
      </c>
      <c r="C403" s="90">
        <v>0</v>
      </c>
      <c r="D403" s="91">
        <v>0</v>
      </c>
      <c r="E403" s="92">
        <v>0</v>
      </c>
      <c r="F403" s="92">
        <v>0</v>
      </c>
      <c r="G403" s="92">
        <v>0</v>
      </c>
      <c r="H403" s="91">
        <v>0</v>
      </c>
      <c r="I403" s="91">
        <v>0</v>
      </c>
      <c r="J403" s="93">
        <v>0</v>
      </c>
      <c r="K403" s="93">
        <v>0</v>
      </c>
      <c r="L403" s="93">
        <v>0</v>
      </c>
      <c r="M403" s="93">
        <v>0</v>
      </c>
      <c r="N403" s="94">
        <v>0</v>
      </c>
      <c r="O403" s="94" t="str">
        <v/>
      </c>
      <c r="P403" s="93">
        <v>0</v>
      </c>
      <c r="Q403" s="92">
        <v>0</v>
      </c>
    </row>
    <row r="404" spans="2:17" x14ac:dyDescent="0.25">
      <c r="B404" s="92">
        <v>0</v>
      </c>
      <c r="C404" s="90">
        <v>0</v>
      </c>
      <c r="D404" s="91">
        <v>0</v>
      </c>
      <c r="E404" s="92">
        <v>0</v>
      </c>
      <c r="F404" s="92">
        <v>0</v>
      </c>
      <c r="G404" s="92">
        <v>0</v>
      </c>
      <c r="H404" s="91">
        <v>0</v>
      </c>
      <c r="I404" s="91">
        <v>0</v>
      </c>
      <c r="J404" s="93">
        <v>0</v>
      </c>
      <c r="K404" s="93">
        <v>0</v>
      </c>
      <c r="L404" s="93">
        <v>0</v>
      </c>
      <c r="M404" s="93">
        <v>0</v>
      </c>
      <c r="N404" s="94">
        <v>0</v>
      </c>
      <c r="O404" s="94" t="str">
        <v/>
      </c>
      <c r="P404" s="93">
        <v>0</v>
      </c>
      <c r="Q404" s="92">
        <v>0</v>
      </c>
    </row>
    <row r="405" spans="2:17" x14ac:dyDescent="0.25">
      <c r="B405" s="92">
        <v>0</v>
      </c>
      <c r="C405" s="90">
        <v>0</v>
      </c>
      <c r="D405" s="91">
        <v>0</v>
      </c>
      <c r="E405" s="92">
        <v>0</v>
      </c>
      <c r="F405" s="92">
        <v>0</v>
      </c>
      <c r="G405" s="92">
        <v>0</v>
      </c>
      <c r="H405" s="91">
        <v>0</v>
      </c>
      <c r="I405" s="91">
        <v>0</v>
      </c>
      <c r="J405" s="93">
        <v>0</v>
      </c>
      <c r="K405" s="93">
        <v>0</v>
      </c>
      <c r="L405" s="93">
        <v>0</v>
      </c>
      <c r="M405" s="93">
        <v>0</v>
      </c>
      <c r="N405" s="94">
        <v>0</v>
      </c>
      <c r="O405" s="94" t="str">
        <v/>
      </c>
      <c r="P405" s="93">
        <v>0</v>
      </c>
      <c r="Q405" s="92">
        <v>0</v>
      </c>
    </row>
    <row r="406" spans="2:17" x14ac:dyDescent="0.25">
      <c r="B406" s="92">
        <v>0</v>
      </c>
      <c r="C406" s="90">
        <v>0</v>
      </c>
      <c r="D406" s="91">
        <v>0</v>
      </c>
      <c r="E406" s="92">
        <v>0</v>
      </c>
      <c r="F406" s="92">
        <v>0</v>
      </c>
      <c r="G406" s="92">
        <v>0</v>
      </c>
      <c r="H406" s="91">
        <v>0</v>
      </c>
      <c r="I406" s="91">
        <v>0</v>
      </c>
      <c r="J406" s="93">
        <v>0</v>
      </c>
      <c r="K406" s="93">
        <v>0</v>
      </c>
      <c r="L406" s="93">
        <v>0</v>
      </c>
      <c r="M406" s="93">
        <v>0</v>
      </c>
      <c r="N406" s="94">
        <v>0</v>
      </c>
      <c r="O406" s="94" t="str">
        <v/>
      </c>
      <c r="P406" s="93">
        <v>0</v>
      </c>
      <c r="Q406" s="92">
        <v>0</v>
      </c>
    </row>
    <row r="407" spans="2:17" x14ac:dyDescent="0.25">
      <c r="B407" s="92">
        <v>0</v>
      </c>
      <c r="C407" s="90">
        <v>0</v>
      </c>
      <c r="D407" s="91">
        <v>0</v>
      </c>
      <c r="E407" s="92">
        <v>0</v>
      </c>
      <c r="F407" s="92">
        <v>0</v>
      </c>
      <c r="G407" s="92">
        <v>0</v>
      </c>
      <c r="H407" s="91">
        <v>0</v>
      </c>
      <c r="I407" s="91">
        <v>0</v>
      </c>
      <c r="J407" s="93">
        <v>0</v>
      </c>
      <c r="K407" s="93">
        <v>0</v>
      </c>
      <c r="L407" s="93">
        <v>0</v>
      </c>
      <c r="M407" s="93">
        <v>0</v>
      </c>
      <c r="N407" s="94">
        <v>0</v>
      </c>
      <c r="O407" s="94" t="str">
        <v/>
      </c>
      <c r="P407" s="93">
        <v>0</v>
      </c>
      <c r="Q407" s="92">
        <v>0</v>
      </c>
    </row>
    <row r="408" spans="2:17" x14ac:dyDescent="0.25">
      <c r="B408" s="92">
        <v>0</v>
      </c>
      <c r="C408" s="90">
        <v>0</v>
      </c>
      <c r="D408" s="91">
        <v>0</v>
      </c>
      <c r="E408" s="92">
        <v>0</v>
      </c>
      <c r="F408" s="92">
        <v>0</v>
      </c>
      <c r="G408" s="92">
        <v>0</v>
      </c>
      <c r="H408" s="91">
        <v>0</v>
      </c>
      <c r="I408" s="91">
        <v>0</v>
      </c>
      <c r="J408" s="93">
        <v>0</v>
      </c>
      <c r="K408" s="93">
        <v>0</v>
      </c>
      <c r="L408" s="93">
        <v>0</v>
      </c>
      <c r="M408" s="93">
        <v>0</v>
      </c>
      <c r="N408" s="94">
        <v>0</v>
      </c>
      <c r="O408" s="94" t="str">
        <v/>
      </c>
      <c r="P408" s="93">
        <v>0</v>
      </c>
      <c r="Q408" s="92">
        <v>0</v>
      </c>
    </row>
    <row r="409" spans="2:17" x14ac:dyDescent="0.25">
      <c r="B409" s="92">
        <v>0</v>
      </c>
      <c r="C409" s="90">
        <v>0</v>
      </c>
      <c r="D409" s="91">
        <v>0</v>
      </c>
      <c r="E409" s="92">
        <v>0</v>
      </c>
      <c r="F409" s="92">
        <v>0</v>
      </c>
      <c r="G409" s="92">
        <v>0</v>
      </c>
      <c r="H409" s="91">
        <v>0</v>
      </c>
      <c r="I409" s="91">
        <v>0</v>
      </c>
      <c r="J409" s="93">
        <v>0</v>
      </c>
      <c r="K409" s="93">
        <v>0</v>
      </c>
      <c r="L409" s="93">
        <v>0</v>
      </c>
      <c r="M409" s="93">
        <v>0</v>
      </c>
      <c r="N409" s="94">
        <v>0</v>
      </c>
      <c r="O409" s="94" t="str">
        <v/>
      </c>
      <c r="P409" s="93">
        <v>0</v>
      </c>
      <c r="Q409" s="92">
        <v>0</v>
      </c>
    </row>
    <row r="410" spans="2:17" x14ac:dyDescent="0.25">
      <c r="B410" s="92">
        <v>0</v>
      </c>
      <c r="C410" s="90">
        <v>0</v>
      </c>
      <c r="D410" s="91">
        <v>0</v>
      </c>
      <c r="E410" s="92">
        <v>0</v>
      </c>
      <c r="F410" s="92">
        <v>0</v>
      </c>
      <c r="G410" s="92">
        <v>0</v>
      </c>
      <c r="H410" s="91">
        <v>0</v>
      </c>
      <c r="I410" s="91">
        <v>0</v>
      </c>
      <c r="J410" s="93">
        <v>0</v>
      </c>
      <c r="K410" s="93">
        <v>0</v>
      </c>
      <c r="L410" s="93">
        <v>0</v>
      </c>
      <c r="M410" s="93">
        <v>0</v>
      </c>
      <c r="N410" s="94">
        <v>0</v>
      </c>
      <c r="O410" s="94" t="str">
        <v/>
      </c>
      <c r="P410" s="93">
        <v>0</v>
      </c>
      <c r="Q410" s="92">
        <v>0</v>
      </c>
    </row>
    <row r="411" spans="2:17" x14ac:dyDescent="0.25">
      <c r="B411" s="92">
        <v>0</v>
      </c>
      <c r="C411" s="90">
        <v>0</v>
      </c>
      <c r="D411" s="91">
        <v>0</v>
      </c>
      <c r="E411" s="92">
        <v>0</v>
      </c>
      <c r="F411" s="92">
        <v>0</v>
      </c>
      <c r="G411" s="92">
        <v>0</v>
      </c>
      <c r="H411" s="91">
        <v>0</v>
      </c>
      <c r="I411" s="91">
        <v>0</v>
      </c>
      <c r="J411" s="93">
        <v>0</v>
      </c>
      <c r="K411" s="93">
        <v>0</v>
      </c>
      <c r="L411" s="93">
        <v>0</v>
      </c>
      <c r="M411" s="93">
        <v>0</v>
      </c>
      <c r="N411" s="94">
        <v>0</v>
      </c>
      <c r="O411" s="94" t="str">
        <v/>
      </c>
      <c r="P411" s="93">
        <v>0</v>
      </c>
      <c r="Q411" s="92">
        <v>0</v>
      </c>
    </row>
    <row r="412" spans="2:17" x14ac:dyDescent="0.25">
      <c r="B412" s="92">
        <v>0</v>
      </c>
      <c r="C412" s="90">
        <v>0</v>
      </c>
      <c r="D412" s="91">
        <v>0</v>
      </c>
      <c r="E412" s="92">
        <v>0</v>
      </c>
      <c r="F412" s="92">
        <v>0</v>
      </c>
      <c r="G412" s="92">
        <v>0</v>
      </c>
      <c r="H412" s="91">
        <v>0</v>
      </c>
      <c r="I412" s="91">
        <v>0</v>
      </c>
      <c r="J412" s="93">
        <v>0</v>
      </c>
      <c r="K412" s="93">
        <v>0</v>
      </c>
      <c r="L412" s="93">
        <v>0</v>
      </c>
      <c r="M412" s="93">
        <v>0</v>
      </c>
      <c r="N412" s="94">
        <v>0</v>
      </c>
      <c r="O412" s="94" t="str">
        <v/>
      </c>
      <c r="P412" s="93">
        <v>0</v>
      </c>
      <c r="Q412" s="92">
        <v>0</v>
      </c>
    </row>
    <row r="413" spans="2:17" x14ac:dyDescent="0.25">
      <c r="B413" s="92">
        <v>0</v>
      </c>
      <c r="C413" s="90">
        <v>0</v>
      </c>
      <c r="D413" s="91">
        <v>0</v>
      </c>
      <c r="E413" s="92">
        <v>0</v>
      </c>
      <c r="F413" s="92">
        <v>0</v>
      </c>
      <c r="G413" s="92">
        <v>0</v>
      </c>
      <c r="H413" s="91">
        <v>0</v>
      </c>
      <c r="I413" s="91">
        <v>0</v>
      </c>
      <c r="J413" s="93">
        <v>0</v>
      </c>
      <c r="K413" s="93">
        <v>0</v>
      </c>
      <c r="L413" s="93">
        <v>0</v>
      </c>
      <c r="M413" s="93">
        <v>0</v>
      </c>
      <c r="N413" s="94">
        <v>0</v>
      </c>
      <c r="O413" s="94" t="str">
        <v/>
      </c>
      <c r="P413" s="93">
        <v>0</v>
      </c>
      <c r="Q413" s="92">
        <v>0</v>
      </c>
    </row>
    <row r="414" spans="2:17" x14ac:dyDescent="0.25">
      <c r="B414" s="92">
        <v>0</v>
      </c>
      <c r="C414" s="90">
        <v>0</v>
      </c>
      <c r="D414" s="91">
        <v>0</v>
      </c>
      <c r="E414" s="92">
        <v>0</v>
      </c>
      <c r="F414" s="92">
        <v>0</v>
      </c>
      <c r="G414" s="92">
        <v>0</v>
      </c>
      <c r="H414" s="91">
        <v>0</v>
      </c>
      <c r="I414" s="91">
        <v>0</v>
      </c>
      <c r="J414" s="93">
        <v>0</v>
      </c>
      <c r="K414" s="93">
        <v>0</v>
      </c>
      <c r="L414" s="93">
        <v>0</v>
      </c>
      <c r="M414" s="93">
        <v>0</v>
      </c>
      <c r="N414" s="94">
        <v>0</v>
      </c>
      <c r="O414" s="94" t="str">
        <v/>
      </c>
      <c r="P414" s="93">
        <v>0</v>
      </c>
      <c r="Q414" s="92">
        <v>0</v>
      </c>
    </row>
    <row r="415" spans="2:17" x14ac:dyDescent="0.25">
      <c r="B415" s="92">
        <v>0</v>
      </c>
      <c r="C415" s="90">
        <v>0</v>
      </c>
      <c r="D415" s="91">
        <v>0</v>
      </c>
      <c r="E415" s="92">
        <v>0</v>
      </c>
      <c r="F415" s="92">
        <v>0</v>
      </c>
      <c r="G415" s="92">
        <v>0</v>
      </c>
      <c r="H415" s="91">
        <v>0</v>
      </c>
      <c r="I415" s="91">
        <v>0</v>
      </c>
      <c r="J415" s="93">
        <v>0</v>
      </c>
      <c r="K415" s="93">
        <v>0</v>
      </c>
      <c r="L415" s="93">
        <v>0</v>
      </c>
      <c r="M415" s="93">
        <v>0</v>
      </c>
      <c r="N415" s="94">
        <v>0</v>
      </c>
      <c r="O415" s="94" t="str">
        <v/>
      </c>
      <c r="P415" s="93">
        <v>0</v>
      </c>
      <c r="Q415" s="92">
        <v>0</v>
      </c>
    </row>
    <row r="416" spans="2:17" x14ac:dyDescent="0.25">
      <c r="B416" s="92">
        <v>0</v>
      </c>
      <c r="C416" s="90">
        <v>0</v>
      </c>
      <c r="D416" s="91">
        <v>0</v>
      </c>
      <c r="E416" s="92">
        <v>0</v>
      </c>
      <c r="F416" s="92">
        <v>0</v>
      </c>
      <c r="G416" s="92">
        <v>0</v>
      </c>
      <c r="H416" s="91">
        <v>0</v>
      </c>
      <c r="I416" s="91">
        <v>0</v>
      </c>
      <c r="J416" s="93">
        <v>0</v>
      </c>
      <c r="K416" s="93">
        <v>0</v>
      </c>
      <c r="L416" s="93">
        <v>0</v>
      </c>
      <c r="M416" s="93">
        <v>0</v>
      </c>
      <c r="N416" s="94">
        <v>0</v>
      </c>
      <c r="O416" s="94" t="str">
        <v/>
      </c>
      <c r="P416" s="93">
        <v>0</v>
      </c>
      <c r="Q416" s="92">
        <v>0</v>
      </c>
    </row>
    <row r="417" spans="2:17" x14ac:dyDescent="0.25">
      <c r="B417" s="92">
        <v>0</v>
      </c>
      <c r="C417" s="90">
        <v>0</v>
      </c>
      <c r="D417" s="91">
        <v>0</v>
      </c>
      <c r="E417" s="92">
        <v>0</v>
      </c>
      <c r="F417" s="92">
        <v>0</v>
      </c>
      <c r="G417" s="92">
        <v>0</v>
      </c>
      <c r="H417" s="91">
        <v>0</v>
      </c>
      <c r="I417" s="91">
        <v>0</v>
      </c>
      <c r="J417" s="93">
        <v>0</v>
      </c>
      <c r="K417" s="93">
        <v>0</v>
      </c>
      <c r="L417" s="93">
        <v>0</v>
      </c>
      <c r="M417" s="93">
        <v>0</v>
      </c>
      <c r="N417" s="94">
        <v>0</v>
      </c>
      <c r="O417" s="94" t="str">
        <v/>
      </c>
      <c r="P417" s="93">
        <v>0</v>
      </c>
      <c r="Q417" s="92">
        <v>0</v>
      </c>
    </row>
    <row r="418" spans="2:17" x14ac:dyDescent="0.25">
      <c r="B418" s="92">
        <v>0</v>
      </c>
      <c r="C418" s="90">
        <v>0</v>
      </c>
      <c r="D418" s="91">
        <v>0</v>
      </c>
      <c r="E418" s="92">
        <v>0</v>
      </c>
      <c r="F418" s="92">
        <v>0</v>
      </c>
      <c r="G418" s="92">
        <v>0</v>
      </c>
      <c r="H418" s="91">
        <v>0</v>
      </c>
      <c r="I418" s="91">
        <v>0</v>
      </c>
      <c r="J418" s="93">
        <v>0</v>
      </c>
      <c r="K418" s="93">
        <v>0</v>
      </c>
      <c r="L418" s="93">
        <v>0</v>
      </c>
      <c r="M418" s="93">
        <v>0</v>
      </c>
      <c r="N418" s="94">
        <v>0</v>
      </c>
      <c r="O418" s="94" t="str">
        <v/>
      </c>
      <c r="P418" s="93">
        <v>0</v>
      </c>
      <c r="Q418" s="92">
        <v>0</v>
      </c>
    </row>
    <row r="419" spans="2:17" x14ac:dyDescent="0.25">
      <c r="B419" s="92">
        <v>0</v>
      </c>
      <c r="C419" s="90">
        <v>0</v>
      </c>
      <c r="D419" s="91">
        <v>0</v>
      </c>
      <c r="E419" s="92">
        <v>0</v>
      </c>
      <c r="F419" s="92">
        <v>0</v>
      </c>
      <c r="G419" s="92">
        <v>0</v>
      </c>
      <c r="H419" s="91">
        <v>0</v>
      </c>
      <c r="I419" s="91">
        <v>0</v>
      </c>
      <c r="J419" s="93">
        <v>0</v>
      </c>
      <c r="K419" s="93">
        <v>0</v>
      </c>
      <c r="L419" s="93">
        <v>0</v>
      </c>
      <c r="M419" s="93">
        <v>0</v>
      </c>
      <c r="N419" s="94">
        <v>0</v>
      </c>
      <c r="O419" s="94" t="str">
        <v/>
      </c>
      <c r="P419" s="93">
        <v>0</v>
      </c>
      <c r="Q419" s="92">
        <v>0</v>
      </c>
    </row>
    <row r="420" spans="2:17" x14ac:dyDescent="0.25">
      <c r="B420" s="92">
        <v>0</v>
      </c>
      <c r="C420" s="90">
        <v>0</v>
      </c>
      <c r="D420" s="91">
        <v>0</v>
      </c>
      <c r="E420" s="92">
        <v>0</v>
      </c>
      <c r="F420" s="92">
        <v>0</v>
      </c>
      <c r="G420" s="92">
        <v>0</v>
      </c>
      <c r="H420" s="91">
        <v>0</v>
      </c>
      <c r="I420" s="91">
        <v>0</v>
      </c>
      <c r="J420" s="93">
        <v>0</v>
      </c>
      <c r="K420" s="93">
        <v>0</v>
      </c>
      <c r="L420" s="93">
        <v>0</v>
      </c>
      <c r="M420" s="93">
        <v>0</v>
      </c>
      <c r="N420" s="94">
        <v>0</v>
      </c>
      <c r="O420" s="94" t="str">
        <v/>
      </c>
      <c r="P420" s="93">
        <v>0</v>
      </c>
      <c r="Q420" s="92">
        <v>0</v>
      </c>
    </row>
    <row r="421" spans="2:17" x14ac:dyDescent="0.25">
      <c r="B421" s="92">
        <v>0</v>
      </c>
      <c r="C421" s="90">
        <v>0</v>
      </c>
      <c r="D421" s="91">
        <v>0</v>
      </c>
      <c r="E421" s="92">
        <v>0</v>
      </c>
      <c r="F421" s="92">
        <v>0</v>
      </c>
      <c r="G421" s="92">
        <v>0</v>
      </c>
      <c r="H421" s="91">
        <v>0</v>
      </c>
      <c r="I421" s="91">
        <v>0</v>
      </c>
      <c r="J421" s="93">
        <v>0</v>
      </c>
      <c r="K421" s="93">
        <v>0</v>
      </c>
      <c r="L421" s="93">
        <v>0</v>
      </c>
      <c r="M421" s="93">
        <v>0</v>
      </c>
      <c r="N421" s="94">
        <v>0</v>
      </c>
      <c r="O421" s="94" t="str">
        <v/>
      </c>
      <c r="P421" s="93">
        <v>0</v>
      </c>
      <c r="Q421" s="92">
        <v>0</v>
      </c>
    </row>
    <row r="422" spans="2:17" x14ac:dyDescent="0.25">
      <c r="B422" s="92">
        <v>0</v>
      </c>
      <c r="C422" s="90">
        <v>0</v>
      </c>
      <c r="D422" s="91">
        <v>0</v>
      </c>
      <c r="E422" s="92">
        <v>0</v>
      </c>
      <c r="F422" s="92">
        <v>0</v>
      </c>
      <c r="G422" s="92">
        <v>0</v>
      </c>
      <c r="H422" s="91">
        <v>0</v>
      </c>
      <c r="I422" s="91">
        <v>0</v>
      </c>
      <c r="J422" s="93">
        <v>0</v>
      </c>
      <c r="K422" s="93">
        <v>0</v>
      </c>
      <c r="L422" s="93">
        <v>0</v>
      </c>
      <c r="M422" s="93">
        <v>0</v>
      </c>
      <c r="N422" s="94">
        <v>0</v>
      </c>
      <c r="O422" s="94" t="str">
        <v/>
      </c>
      <c r="P422" s="93">
        <v>0</v>
      </c>
      <c r="Q422" s="92">
        <v>0</v>
      </c>
    </row>
    <row r="423" spans="2:17" x14ac:dyDescent="0.25">
      <c r="B423" s="92">
        <v>0</v>
      </c>
      <c r="C423" s="90">
        <v>0</v>
      </c>
      <c r="D423" s="91">
        <v>0</v>
      </c>
      <c r="E423" s="92">
        <v>0</v>
      </c>
      <c r="F423" s="92">
        <v>0</v>
      </c>
      <c r="G423" s="92">
        <v>0</v>
      </c>
      <c r="H423" s="91">
        <v>0</v>
      </c>
      <c r="I423" s="91">
        <v>0</v>
      </c>
      <c r="J423" s="93">
        <v>0</v>
      </c>
      <c r="K423" s="93">
        <v>0</v>
      </c>
      <c r="L423" s="93">
        <v>0</v>
      </c>
      <c r="M423" s="93">
        <v>0</v>
      </c>
      <c r="N423" s="94">
        <v>0</v>
      </c>
      <c r="O423" s="94" t="str">
        <v/>
      </c>
      <c r="P423" s="93">
        <v>0</v>
      </c>
      <c r="Q423" s="92">
        <v>0</v>
      </c>
    </row>
    <row r="424" spans="2:17" x14ac:dyDescent="0.25">
      <c r="B424" s="92">
        <v>0</v>
      </c>
      <c r="C424" s="90">
        <v>0</v>
      </c>
      <c r="D424" s="91">
        <v>0</v>
      </c>
      <c r="E424" s="92">
        <v>0</v>
      </c>
      <c r="F424" s="92">
        <v>0</v>
      </c>
      <c r="G424" s="92">
        <v>0</v>
      </c>
      <c r="H424" s="91">
        <v>0</v>
      </c>
      <c r="I424" s="91">
        <v>0</v>
      </c>
      <c r="J424" s="93">
        <v>0</v>
      </c>
      <c r="K424" s="93">
        <v>0</v>
      </c>
      <c r="L424" s="93">
        <v>0</v>
      </c>
      <c r="M424" s="93">
        <v>0</v>
      </c>
      <c r="N424" s="94">
        <v>0</v>
      </c>
      <c r="O424" s="94" t="str">
        <v/>
      </c>
      <c r="P424" s="93">
        <v>0</v>
      </c>
      <c r="Q424" s="92">
        <v>0</v>
      </c>
    </row>
    <row r="425" spans="2:17" x14ac:dyDescent="0.25">
      <c r="B425" s="92">
        <v>0</v>
      </c>
      <c r="C425" s="90">
        <v>0</v>
      </c>
      <c r="D425" s="91">
        <v>0</v>
      </c>
      <c r="E425" s="92">
        <v>0</v>
      </c>
      <c r="F425" s="92">
        <v>0</v>
      </c>
      <c r="G425" s="92">
        <v>0</v>
      </c>
      <c r="H425" s="91">
        <v>0</v>
      </c>
      <c r="I425" s="91">
        <v>0</v>
      </c>
      <c r="J425" s="93">
        <v>0</v>
      </c>
      <c r="K425" s="93">
        <v>0</v>
      </c>
      <c r="L425" s="93">
        <v>0</v>
      </c>
      <c r="M425" s="93">
        <v>0</v>
      </c>
      <c r="N425" s="94">
        <v>0</v>
      </c>
      <c r="O425" s="94" t="str">
        <v/>
      </c>
      <c r="P425" s="93">
        <v>0</v>
      </c>
      <c r="Q425" s="92">
        <v>0</v>
      </c>
    </row>
    <row r="426" spans="2:17" x14ac:dyDescent="0.25">
      <c r="B426" s="92">
        <v>0</v>
      </c>
      <c r="C426" s="90">
        <v>0</v>
      </c>
      <c r="D426" s="91">
        <v>0</v>
      </c>
      <c r="E426" s="92">
        <v>0</v>
      </c>
      <c r="F426" s="92">
        <v>0</v>
      </c>
      <c r="G426" s="92">
        <v>0</v>
      </c>
      <c r="H426" s="91">
        <v>0</v>
      </c>
      <c r="I426" s="91">
        <v>0</v>
      </c>
      <c r="J426" s="93">
        <v>0</v>
      </c>
      <c r="K426" s="93">
        <v>0</v>
      </c>
      <c r="L426" s="93">
        <v>0</v>
      </c>
      <c r="M426" s="93">
        <v>0</v>
      </c>
      <c r="N426" s="94">
        <v>0</v>
      </c>
      <c r="O426" s="94" t="str">
        <v/>
      </c>
      <c r="P426" s="93">
        <v>0</v>
      </c>
      <c r="Q426" s="92">
        <v>0</v>
      </c>
    </row>
    <row r="427" spans="2:17" x14ac:dyDescent="0.25">
      <c r="B427" s="92">
        <v>0</v>
      </c>
      <c r="C427" s="90">
        <v>0</v>
      </c>
      <c r="D427" s="91">
        <v>0</v>
      </c>
      <c r="E427" s="92">
        <v>0</v>
      </c>
      <c r="F427" s="92">
        <v>0</v>
      </c>
      <c r="G427" s="92">
        <v>0</v>
      </c>
      <c r="H427" s="91">
        <v>0</v>
      </c>
      <c r="I427" s="91">
        <v>0</v>
      </c>
      <c r="J427" s="93">
        <v>0</v>
      </c>
      <c r="K427" s="93">
        <v>0</v>
      </c>
      <c r="L427" s="93">
        <v>0</v>
      </c>
      <c r="M427" s="93">
        <v>0</v>
      </c>
      <c r="N427" s="94">
        <v>0</v>
      </c>
      <c r="O427" s="94" t="str">
        <v/>
      </c>
      <c r="P427" s="93">
        <v>0</v>
      </c>
      <c r="Q427" s="92">
        <v>0</v>
      </c>
    </row>
    <row r="428" spans="2:17" x14ac:dyDescent="0.25">
      <c r="B428" s="92">
        <v>0</v>
      </c>
      <c r="C428" s="90">
        <v>0</v>
      </c>
      <c r="D428" s="91">
        <v>0</v>
      </c>
      <c r="E428" s="92">
        <v>0</v>
      </c>
      <c r="F428" s="92">
        <v>0</v>
      </c>
      <c r="G428" s="92">
        <v>0</v>
      </c>
      <c r="H428" s="91">
        <v>0</v>
      </c>
      <c r="I428" s="91">
        <v>0</v>
      </c>
      <c r="J428" s="93">
        <v>0</v>
      </c>
      <c r="K428" s="93">
        <v>0</v>
      </c>
      <c r="L428" s="93">
        <v>0</v>
      </c>
      <c r="M428" s="93">
        <v>0</v>
      </c>
      <c r="N428" s="94">
        <v>0</v>
      </c>
      <c r="O428" s="94" t="str">
        <v/>
      </c>
      <c r="P428" s="93">
        <v>0</v>
      </c>
      <c r="Q428" s="92">
        <v>0</v>
      </c>
    </row>
    <row r="429" spans="2:17" x14ac:dyDescent="0.25">
      <c r="B429" s="92">
        <v>0</v>
      </c>
      <c r="C429" s="90">
        <v>0</v>
      </c>
      <c r="D429" s="91">
        <v>0</v>
      </c>
      <c r="E429" s="92">
        <v>0</v>
      </c>
      <c r="F429" s="92">
        <v>0</v>
      </c>
      <c r="G429" s="92">
        <v>0</v>
      </c>
      <c r="H429" s="91">
        <v>0</v>
      </c>
      <c r="I429" s="91">
        <v>0</v>
      </c>
      <c r="J429" s="93">
        <v>0</v>
      </c>
      <c r="K429" s="93">
        <v>0</v>
      </c>
      <c r="L429" s="93">
        <v>0</v>
      </c>
      <c r="M429" s="93">
        <v>0</v>
      </c>
      <c r="N429" s="94">
        <v>0</v>
      </c>
      <c r="O429" s="94" t="str">
        <v/>
      </c>
      <c r="P429" s="93">
        <v>0</v>
      </c>
      <c r="Q429" s="92">
        <v>0</v>
      </c>
    </row>
    <row r="430" spans="2:17" x14ac:dyDescent="0.25">
      <c r="B430" s="92">
        <v>0</v>
      </c>
      <c r="C430" s="90">
        <v>0</v>
      </c>
      <c r="D430" s="91">
        <v>0</v>
      </c>
      <c r="E430" s="92">
        <v>0</v>
      </c>
      <c r="F430" s="92">
        <v>0</v>
      </c>
      <c r="G430" s="92">
        <v>0</v>
      </c>
      <c r="H430" s="91">
        <v>0</v>
      </c>
      <c r="I430" s="91">
        <v>0</v>
      </c>
      <c r="J430" s="93">
        <v>0</v>
      </c>
      <c r="K430" s="93">
        <v>0</v>
      </c>
      <c r="L430" s="93">
        <v>0</v>
      </c>
      <c r="M430" s="93">
        <v>0</v>
      </c>
      <c r="N430" s="94">
        <v>0</v>
      </c>
      <c r="O430" s="94" t="str">
        <v/>
      </c>
      <c r="P430" s="93">
        <v>0</v>
      </c>
      <c r="Q430" s="92">
        <v>0</v>
      </c>
    </row>
    <row r="431" spans="2:17" x14ac:dyDescent="0.25">
      <c r="B431" s="92">
        <v>0</v>
      </c>
      <c r="C431" s="90">
        <v>0</v>
      </c>
      <c r="D431" s="91">
        <v>0</v>
      </c>
      <c r="E431" s="92">
        <v>0</v>
      </c>
      <c r="F431" s="92">
        <v>0</v>
      </c>
      <c r="G431" s="92">
        <v>0</v>
      </c>
      <c r="H431" s="91">
        <v>0</v>
      </c>
      <c r="I431" s="91">
        <v>0</v>
      </c>
      <c r="J431" s="93">
        <v>0</v>
      </c>
      <c r="K431" s="93">
        <v>0</v>
      </c>
      <c r="L431" s="93">
        <v>0</v>
      </c>
      <c r="M431" s="93">
        <v>0</v>
      </c>
      <c r="N431" s="94">
        <v>0</v>
      </c>
      <c r="O431" s="94" t="str">
        <v/>
      </c>
      <c r="P431" s="93">
        <v>0</v>
      </c>
      <c r="Q431" s="92">
        <v>0</v>
      </c>
    </row>
    <row r="432" spans="2:17" x14ac:dyDescent="0.25">
      <c r="B432" s="92">
        <v>0</v>
      </c>
      <c r="C432" s="90">
        <v>0</v>
      </c>
      <c r="D432" s="91">
        <v>0</v>
      </c>
      <c r="E432" s="92">
        <v>0</v>
      </c>
      <c r="F432" s="92">
        <v>0</v>
      </c>
      <c r="G432" s="92">
        <v>0</v>
      </c>
      <c r="H432" s="91">
        <v>0</v>
      </c>
      <c r="I432" s="91">
        <v>0</v>
      </c>
      <c r="J432" s="93">
        <v>0</v>
      </c>
      <c r="K432" s="93">
        <v>0</v>
      </c>
      <c r="L432" s="93">
        <v>0</v>
      </c>
      <c r="M432" s="93">
        <v>0</v>
      </c>
      <c r="N432" s="94">
        <v>0</v>
      </c>
      <c r="O432" s="94" t="str">
        <v/>
      </c>
      <c r="P432" s="93">
        <v>0</v>
      </c>
      <c r="Q432" s="92">
        <v>0</v>
      </c>
    </row>
    <row r="433" spans="2:17" x14ac:dyDescent="0.25">
      <c r="B433" s="92">
        <v>0</v>
      </c>
      <c r="C433" s="90">
        <v>0</v>
      </c>
      <c r="D433" s="91">
        <v>0</v>
      </c>
      <c r="E433" s="92">
        <v>0</v>
      </c>
      <c r="F433" s="92">
        <v>0</v>
      </c>
      <c r="G433" s="92">
        <v>0</v>
      </c>
      <c r="H433" s="91">
        <v>0</v>
      </c>
      <c r="I433" s="91">
        <v>0</v>
      </c>
      <c r="J433" s="93">
        <v>0</v>
      </c>
      <c r="K433" s="93">
        <v>0</v>
      </c>
      <c r="L433" s="93">
        <v>0</v>
      </c>
      <c r="M433" s="93">
        <v>0</v>
      </c>
      <c r="N433" s="94">
        <v>0</v>
      </c>
      <c r="O433" s="94" t="str">
        <v/>
      </c>
      <c r="P433" s="93">
        <v>0</v>
      </c>
      <c r="Q433" s="92">
        <v>0</v>
      </c>
    </row>
    <row r="434" spans="2:17" x14ac:dyDescent="0.25">
      <c r="B434" s="92">
        <v>0</v>
      </c>
      <c r="C434" s="90">
        <v>0</v>
      </c>
      <c r="D434" s="91">
        <v>0</v>
      </c>
      <c r="E434" s="92">
        <v>0</v>
      </c>
      <c r="F434" s="92">
        <v>0</v>
      </c>
      <c r="G434" s="92">
        <v>0</v>
      </c>
      <c r="H434" s="91">
        <v>0</v>
      </c>
      <c r="I434" s="91">
        <v>0</v>
      </c>
      <c r="J434" s="93">
        <v>0</v>
      </c>
      <c r="K434" s="93">
        <v>0</v>
      </c>
      <c r="L434" s="93">
        <v>0</v>
      </c>
      <c r="M434" s="93">
        <v>0</v>
      </c>
      <c r="N434" s="94">
        <v>0</v>
      </c>
      <c r="O434" s="94" t="str">
        <v/>
      </c>
      <c r="P434" s="93">
        <v>0</v>
      </c>
      <c r="Q434" s="92">
        <v>0</v>
      </c>
    </row>
    <row r="435" spans="2:17" x14ac:dyDescent="0.25">
      <c r="B435" s="92">
        <v>0</v>
      </c>
      <c r="C435" s="90">
        <v>0</v>
      </c>
      <c r="D435" s="91">
        <v>0</v>
      </c>
      <c r="E435" s="92">
        <v>0</v>
      </c>
      <c r="F435" s="92">
        <v>0</v>
      </c>
      <c r="G435" s="92">
        <v>0</v>
      </c>
      <c r="H435" s="91">
        <v>0</v>
      </c>
      <c r="I435" s="91">
        <v>0</v>
      </c>
      <c r="J435" s="93">
        <v>0</v>
      </c>
      <c r="K435" s="93">
        <v>0</v>
      </c>
      <c r="L435" s="93">
        <v>0</v>
      </c>
      <c r="M435" s="93">
        <v>0</v>
      </c>
      <c r="N435" s="94">
        <v>0</v>
      </c>
      <c r="O435" s="94" t="str">
        <v/>
      </c>
      <c r="P435" s="93">
        <v>0</v>
      </c>
      <c r="Q435" s="92">
        <v>0</v>
      </c>
    </row>
    <row r="436" spans="2:17" x14ac:dyDescent="0.25">
      <c r="B436" s="92">
        <v>0</v>
      </c>
      <c r="C436" s="90">
        <v>0</v>
      </c>
      <c r="D436" s="91">
        <v>0</v>
      </c>
      <c r="E436" s="92">
        <v>0</v>
      </c>
      <c r="F436" s="92">
        <v>0</v>
      </c>
      <c r="G436" s="92">
        <v>0</v>
      </c>
      <c r="H436" s="91">
        <v>0</v>
      </c>
      <c r="I436" s="91">
        <v>0</v>
      </c>
      <c r="J436" s="93">
        <v>0</v>
      </c>
      <c r="K436" s="93">
        <v>0</v>
      </c>
      <c r="L436" s="93">
        <v>0</v>
      </c>
      <c r="M436" s="93">
        <v>0</v>
      </c>
      <c r="N436" s="94">
        <v>0</v>
      </c>
      <c r="O436" s="94" t="str">
        <v/>
      </c>
      <c r="P436" s="93">
        <v>0</v>
      </c>
      <c r="Q436" s="92">
        <v>0</v>
      </c>
    </row>
    <row r="437" spans="2:17" x14ac:dyDescent="0.25">
      <c r="B437" s="92">
        <v>0</v>
      </c>
      <c r="C437" s="90">
        <v>0</v>
      </c>
      <c r="D437" s="91">
        <v>0</v>
      </c>
      <c r="E437" s="92">
        <v>0</v>
      </c>
      <c r="F437" s="92">
        <v>0</v>
      </c>
      <c r="G437" s="92">
        <v>0</v>
      </c>
      <c r="H437" s="91">
        <v>0</v>
      </c>
      <c r="I437" s="91">
        <v>0</v>
      </c>
      <c r="J437" s="93">
        <v>0</v>
      </c>
      <c r="K437" s="93">
        <v>0</v>
      </c>
      <c r="L437" s="93">
        <v>0</v>
      </c>
      <c r="M437" s="93">
        <v>0</v>
      </c>
      <c r="N437" s="94">
        <v>0</v>
      </c>
      <c r="O437" s="94" t="str">
        <v/>
      </c>
      <c r="P437" s="93">
        <v>0</v>
      </c>
      <c r="Q437" s="92">
        <v>0</v>
      </c>
    </row>
    <row r="438" spans="2:17" x14ac:dyDescent="0.25">
      <c r="B438" s="92">
        <v>0</v>
      </c>
      <c r="C438" s="90">
        <v>0</v>
      </c>
      <c r="D438" s="91">
        <v>0</v>
      </c>
      <c r="E438" s="92">
        <v>0</v>
      </c>
      <c r="F438" s="92">
        <v>0</v>
      </c>
      <c r="G438" s="92">
        <v>0</v>
      </c>
      <c r="H438" s="91">
        <v>0</v>
      </c>
      <c r="I438" s="91">
        <v>0</v>
      </c>
      <c r="J438" s="93">
        <v>0</v>
      </c>
      <c r="K438" s="93">
        <v>0</v>
      </c>
      <c r="L438" s="93">
        <v>0</v>
      </c>
      <c r="M438" s="93">
        <v>0</v>
      </c>
      <c r="N438" s="94">
        <v>0</v>
      </c>
      <c r="O438" s="94" t="str">
        <v/>
      </c>
      <c r="P438" s="93">
        <v>0</v>
      </c>
      <c r="Q438" s="92">
        <v>0</v>
      </c>
    </row>
    <row r="439" spans="2:17" x14ac:dyDescent="0.25">
      <c r="B439" s="92">
        <v>0</v>
      </c>
      <c r="C439" s="90">
        <v>0</v>
      </c>
      <c r="D439" s="91">
        <v>0</v>
      </c>
      <c r="E439" s="92">
        <v>0</v>
      </c>
      <c r="F439" s="92">
        <v>0</v>
      </c>
      <c r="G439" s="92">
        <v>0</v>
      </c>
      <c r="H439" s="91">
        <v>0</v>
      </c>
      <c r="I439" s="91">
        <v>0</v>
      </c>
      <c r="J439" s="93">
        <v>0</v>
      </c>
      <c r="K439" s="93">
        <v>0</v>
      </c>
      <c r="L439" s="93">
        <v>0</v>
      </c>
      <c r="M439" s="93">
        <v>0</v>
      </c>
      <c r="N439" s="94">
        <v>0</v>
      </c>
      <c r="O439" s="94" t="str">
        <v/>
      </c>
      <c r="P439" s="93">
        <v>0</v>
      </c>
      <c r="Q439" s="92">
        <v>0</v>
      </c>
    </row>
    <row r="440" spans="2:17" x14ac:dyDescent="0.25">
      <c r="B440" s="92">
        <v>0</v>
      </c>
      <c r="C440" s="90">
        <v>0</v>
      </c>
      <c r="D440" s="91">
        <v>0</v>
      </c>
      <c r="E440" s="92">
        <v>0</v>
      </c>
      <c r="F440" s="92">
        <v>0</v>
      </c>
      <c r="G440" s="92">
        <v>0</v>
      </c>
      <c r="H440" s="91">
        <v>0</v>
      </c>
      <c r="I440" s="91">
        <v>0</v>
      </c>
      <c r="J440" s="93">
        <v>0</v>
      </c>
      <c r="K440" s="93">
        <v>0</v>
      </c>
      <c r="L440" s="93">
        <v>0</v>
      </c>
      <c r="M440" s="93">
        <v>0</v>
      </c>
      <c r="N440" s="94">
        <v>0</v>
      </c>
      <c r="O440" s="94" t="str">
        <v/>
      </c>
      <c r="P440" s="93">
        <v>0</v>
      </c>
      <c r="Q440" s="92">
        <v>0</v>
      </c>
    </row>
    <row r="441" spans="2:17" x14ac:dyDescent="0.25">
      <c r="B441" s="92">
        <v>0</v>
      </c>
      <c r="C441" s="90">
        <v>0</v>
      </c>
      <c r="D441" s="91">
        <v>0</v>
      </c>
      <c r="E441" s="92">
        <v>0</v>
      </c>
      <c r="F441" s="92">
        <v>0</v>
      </c>
      <c r="G441" s="92">
        <v>0</v>
      </c>
      <c r="H441" s="91">
        <v>0</v>
      </c>
      <c r="I441" s="91">
        <v>0</v>
      </c>
      <c r="J441" s="93">
        <v>0</v>
      </c>
      <c r="K441" s="93">
        <v>0</v>
      </c>
      <c r="L441" s="93">
        <v>0</v>
      </c>
      <c r="M441" s="93">
        <v>0</v>
      </c>
      <c r="N441" s="94">
        <v>0</v>
      </c>
      <c r="O441" s="94" t="str">
        <v/>
      </c>
      <c r="P441" s="93">
        <v>0</v>
      </c>
      <c r="Q441" s="92">
        <v>0</v>
      </c>
    </row>
    <row r="442" spans="2:17" x14ac:dyDescent="0.25">
      <c r="B442" s="92">
        <v>0</v>
      </c>
      <c r="C442" s="90">
        <v>0</v>
      </c>
      <c r="D442" s="91">
        <v>0</v>
      </c>
      <c r="E442" s="92">
        <v>0</v>
      </c>
      <c r="F442" s="92">
        <v>0</v>
      </c>
      <c r="G442" s="92">
        <v>0</v>
      </c>
      <c r="H442" s="91">
        <v>0</v>
      </c>
      <c r="I442" s="91">
        <v>0</v>
      </c>
      <c r="J442" s="93">
        <v>0</v>
      </c>
      <c r="K442" s="93">
        <v>0</v>
      </c>
      <c r="L442" s="93">
        <v>0</v>
      </c>
      <c r="M442" s="93">
        <v>0</v>
      </c>
      <c r="N442" s="94">
        <v>0</v>
      </c>
      <c r="O442" s="94" t="str">
        <v/>
      </c>
      <c r="P442" s="93">
        <v>0</v>
      </c>
      <c r="Q442" s="92">
        <v>0</v>
      </c>
    </row>
    <row r="443" spans="2:17" x14ac:dyDescent="0.25">
      <c r="B443" s="92">
        <v>0</v>
      </c>
      <c r="C443" s="90">
        <v>0</v>
      </c>
      <c r="D443" s="91">
        <v>0</v>
      </c>
      <c r="E443" s="92">
        <v>0</v>
      </c>
      <c r="F443" s="92">
        <v>0</v>
      </c>
      <c r="G443" s="92">
        <v>0</v>
      </c>
      <c r="H443" s="91">
        <v>0</v>
      </c>
      <c r="I443" s="91">
        <v>0</v>
      </c>
      <c r="J443" s="93">
        <v>0</v>
      </c>
      <c r="K443" s="93">
        <v>0</v>
      </c>
      <c r="L443" s="93">
        <v>0</v>
      </c>
      <c r="M443" s="93">
        <v>0</v>
      </c>
      <c r="N443" s="94">
        <v>0</v>
      </c>
      <c r="O443" s="94" t="str">
        <v/>
      </c>
      <c r="P443" s="93">
        <v>0</v>
      </c>
      <c r="Q443" s="92">
        <v>0</v>
      </c>
    </row>
    <row r="444" spans="2:17" x14ac:dyDescent="0.25">
      <c r="B444" s="92">
        <v>0</v>
      </c>
      <c r="C444" s="90">
        <v>0</v>
      </c>
      <c r="D444" s="91">
        <v>0</v>
      </c>
      <c r="E444" s="92">
        <v>0</v>
      </c>
      <c r="F444" s="92">
        <v>0</v>
      </c>
      <c r="G444" s="92">
        <v>0</v>
      </c>
      <c r="H444" s="91">
        <v>0</v>
      </c>
      <c r="I444" s="91">
        <v>0</v>
      </c>
      <c r="J444" s="93">
        <v>0</v>
      </c>
      <c r="K444" s="93">
        <v>0</v>
      </c>
      <c r="L444" s="93">
        <v>0</v>
      </c>
      <c r="M444" s="93">
        <v>0</v>
      </c>
      <c r="N444" s="94">
        <v>0</v>
      </c>
      <c r="O444" s="94" t="str">
        <v/>
      </c>
      <c r="P444" s="93">
        <v>0</v>
      </c>
      <c r="Q444" s="92">
        <v>0</v>
      </c>
    </row>
    <row r="445" spans="2:17" x14ac:dyDescent="0.25">
      <c r="B445" s="92">
        <v>0</v>
      </c>
      <c r="C445" s="90">
        <v>0</v>
      </c>
      <c r="D445" s="91">
        <v>0</v>
      </c>
      <c r="E445" s="92">
        <v>0</v>
      </c>
      <c r="F445" s="92">
        <v>0</v>
      </c>
      <c r="G445" s="92">
        <v>0</v>
      </c>
      <c r="H445" s="91">
        <v>0</v>
      </c>
      <c r="I445" s="91">
        <v>0</v>
      </c>
      <c r="J445" s="93">
        <v>0</v>
      </c>
      <c r="K445" s="93">
        <v>0</v>
      </c>
      <c r="L445" s="93">
        <v>0</v>
      </c>
      <c r="M445" s="93">
        <v>0</v>
      </c>
      <c r="N445" s="94">
        <v>0</v>
      </c>
      <c r="O445" s="94" t="str">
        <v/>
      </c>
      <c r="P445" s="93">
        <v>0</v>
      </c>
      <c r="Q445" s="92">
        <v>0</v>
      </c>
    </row>
    <row r="446" spans="2:17" x14ac:dyDescent="0.25">
      <c r="B446" s="92">
        <v>0</v>
      </c>
      <c r="C446" s="90">
        <v>0</v>
      </c>
      <c r="D446" s="91">
        <v>0</v>
      </c>
      <c r="E446" s="92">
        <v>0</v>
      </c>
      <c r="F446" s="92">
        <v>0</v>
      </c>
      <c r="G446" s="92">
        <v>0</v>
      </c>
      <c r="H446" s="91">
        <v>0</v>
      </c>
      <c r="I446" s="91">
        <v>0</v>
      </c>
      <c r="J446" s="93">
        <v>0</v>
      </c>
      <c r="K446" s="93">
        <v>0</v>
      </c>
      <c r="L446" s="93">
        <v>0</v>
      </c>
      <c r="M446" s="93">
        <v>0</v>
      </c>
      <c r="N446" s="94">
        <v>0</v>
      </c>
      <c r="O446" s="94" t="str">
        <v/>
      </c>
      <c r="P446" s="93">
        <v>0</v>
      </c>
      <c r="Q446" s="92">
        <v>0</v>
      </c>
    </row>
    <row r="447" spans="2:17" x14ac:dyDescent="0.25">
      <c r="B447" s="92">
        <v>0</v>
      </c>
      <c r="C447" s="90">
        <v>0</v>
      </c>
      <c r="D447" s="91">
        <v>0</v>
      </c>
      <c r="E447" s="92">
        <v>0</v>
      </c>
      <c r="F447" s="92">
        <v>0</v>
      </c>
      <c r="G447" s="92">
        <v>0</v>
      </c>
      <c r="H447" s="91">
        <v>0</v>
      </c>
      <c r="I447" s="91">
        <v>0</v>
      </c>
      <c r="J447" s="93">
        <v>0</v>
      </c>
      <c r="K447" s="93">
        <v>0</v>
      </c>
      <c r="L447" s="93">
        <v>0</v>
      </c>
      <c r="M447" s="93">
        <v>0</v>
      </c>
      <c r="N447" s="94">
        <v>0</v>
      </c>
      <c r="O447" s="94" t="str">
        <v/>
      </c>
      <c r="P447" s="93">
        <v>0</v>
      </c>
      <c r="Q447" s="92">
        <v>0</v>
      </c>
    </row>
    <row r="448" spans="2:17" x14ac:dyDescent="0.25">
      <c r="B448" s="92">
        <v>0</v>
      </c>
      <c r="C448" s="90">
        <v>0</v>
      </c>
      <c r="D448" s="91">
        <v>0</v>
      </c>
      <c r="E448" s="92">
        <v>0</v>
      </c>
      <c r="F448" s="92">
        <v>0</v>
      </c>
      <c r="G448" s="92">
        <v>0</v>
      </c>
      <c r="H448" s="91">
        <v>0</v>
      </c>
      <c r="I448" s="91">
        <v>0</v>
      </c>
      <c r="J448" s="93">
        <v>0</v>
      </c>
      <c r="K448" s="93">
        <v>0</v>
      </c>
      <c r="L448" s="93">
        <v>0</v>
      </c>
      <c r="M448" s="93">
        <v>0</v>
      </c>
      <c r="N448" s="94">
        <v>0</v>
      </c>
      <c r="O448" s="94" t="str">
        <v/>
      </c>
      <c r="P448" s="93">
        <v>0</v>
      </c>
      <c r="Q448" s="92">
        <v>0</v>
      </c>
    </row>
    <row r="449" spans="2:17" x14ac:dyDescent="0.25">
      <c r="B449" s="92">
        <v>0</v>
      </c>
      <c r="C449" s="90">
        <v>0</v>
      </c>
      <c r="D449" s="91">
        <v>0</v>
      </c>
      <c r="E449" s="92">
        <v>0</v>
      </c>
      <c r="F449" s="92">
        <v>0</v>
      </c>
      <c r="G449" s="92">
        <v>0</v>
      </c>
      <c r="H449" s="91">
        <v>0</v>
      </c>
      <c r="I449" s="91">
        <v>0</v>
      </c>
      <c r="J449" s="93">
        <v>0</v>
      </c>
      <c r="K449" s="93">
        <v>0</v>
      </c>
      <c r="L449" s="93">
        <v>0</v>
      </c>
      <c r="M449" s="93">
        <v>0</v>
      </c>
      <c r="N449" s="94">
        <v>0</v>
      </c>
      <c r="O449" s="94" t="str">
        <v/>
      </c>
      <c r="P449" s="93">
        <v>0</v>
      </c>
      <c r="Q449" s="92">
        <v>0</v>
      </c>
    </row>
    <row r="450" spans="2:17" x14ac:dyDescent="0.25">
      <c r="B450" s="92">
        <v>0</v>
      </c>
      <c r="C450" s="90">
        <v>0</v>
      </c>
      <c r="D450" s="91">
        <v>0</v>
      </c>
      <c r="E450" s="92">
        <v>0</v>
      </c>
      <c r="F450" s="92">
        <v>0</v>
      </c>
      <c r="G450" s="92">
        <v>0</v>
      </c>
      <c r="H450" s="91">
        <v>0</v>
      </c>
      <c r="I450" s="91">
        <v>0</v>
      </c>
      <c r="J450" s="93">
        <v>0</v>
      </c>
      <c r="K450" s="93">
        <v>0</v>
      </c>
      <c r="L450" s="93">
        <v>0</v>
      </c>
      <c r="M450" s="93">
        <v>0</v>
      </c>
      <c r="N450" s="94">
        <v>0</v>
      </c>
      <c r="O450" s="94" t="str">
        <v/>
      </c>
      <c r="P450" s="93">
        <v>0</v>
      </c>
      <c r="Q450" s="92">
        <v>0</v>
      </c>
    </row>
    <row r="451" spans="2:17" x14ac:dyDescent="0.25">
      <c r="B451" s="92">
        <v>0</v>
      </c>
      <c r="C451" s="90">
        <v>0</v>
      </c>
      <c r="D451" s="91">
        <v>0</v>
      </c>
      <c r="E451" s="92">
        <v>0</v>
      </c>
      <c r="F451" s="92">
        <v>0</v>
      </c>
      <c r="G451" s="92">
        <v>0</v>
      </c>
      <c r="H451" s="91">
        <v>0</v>
      </c>
      <c r="I451" s="91">
        <v>0</v>
      </c>
      <c r="J451" s="93">
        <v>0</v>
      </c>
      <c r="K451" s="93">
        <v>0</v>
      </c>
      <c r="L451" s="93">
        <v>0</v>
      </c>
      <c r="M451" s="93">
        <v>0</v>
      </c>
      <c r="N451" s="94">
        <v>0</v>
      </c>
      <c r="O451" s="94" t="str">
        <v/>
      </c>
      <c r="P451" s="93">
        <v>0</v>
      </c>
      <c r="Q451" s="92">
        <v>0</v>
      </c>
    </row>
    <row r="452" spans="2:17" x14ac:dyDescent="0.25">
      <c r="B452" s="92">
        <v>0</v>
      </c>
      <c r="C452" s="90">
        <v>0</v>
      </c>
      <c r="D452" s="91">
        <v>0</v>
      </c>
      <c r="E452" s="92">
        <v>0</v>
      </c>
      <c r="F452" s="92">
        <v>0</v>
      </c>
      <c r="G452" s="92">
        <v>0</v>
      </c>
      <c r="H452" s="91">
        <v>0</v>
      </c>
      <c r="I452" s="91">
        <v>0</v>
      </c>
      <c r="J452" s="93">
        <v>0</v>
      </c>
      <c r="K452" s="93">
        <v>0</v>
      </c>
      <c r="L452" s="93">
        <v>0</v>
      </c>
      <c r="M452" s="93">
        <v>0</v>
      </c>
      <c r="N452" s="94">
        <v>0</v>
      </c>
      <c r="O452" s="94" t="str">
        <v/>
      </c>
      <c r="P452" s="93">
        <v>0</v>
      </c>
      <c r="Q452" s="92">
        <v>0</v>
      </c>
    </row>
    <row r="453" spans="2:17" x14ac:dyDescent="0.25">
      <c r="B453" s="92">
        <v>0</v>
      </c>
      <c r="C453" s="90">
        <v>0</v>
      </c>
      <c r="D453" s="91">
        <v>0</v>
      </c>
      <c r="E453" s="92">
        <v>0</v>
      </c>
      <c r="F453" s="92">
        <v>0</v>
      </c>
      <c r="G453" s="92">
        <v>0</v>
      </c>
      <c r="H453" s="91">
        <v>0</v>
      </c>
      <c r="I453" s="91">
        <v>0</v>
      </c>
      <c r="J453" s="93">
        <v>0</v>
      </c>
      <c r="K453" s="93">
        <v>0</v>
      </c>
      <c r="L453" s="93">
        <v>0</v>
      </c>
      <c r="M453" s="93">
        <v>0</v>
      </c>
      <c r="N453" s="94">
        <v>0</v>
      </c>
      <c r="O453" s="94" t="str">
        <v/>
      </c>
      <c r="P453" s="93">
        <v>0</v>
      </c>
      <c r="Q453" s="92">
        <v>0</v>
      </c>
    </row>
    <row r="454" spans="2:17" x14ac:dyDescent="0.25">
      <c r="B454" s="92">
        <v>0</v>
      </c>
      <c r="C454" s="90">
        <v>0</v>
      </c>
      <c r="D454" s="91">
        <v>0</v>
      </c>
      <c r="E454" s="92">
        <v>0</v>
      </c>
      <c r="F454" s="92">
        <v>0</v>
      </c>
      <c r="G454" s="92">
        <v>0</v>
      </c>
      <c r="H454" s="91">
        <v>0</v>
      </c>
      <c r="I454" s="91">
        <v>0</v>
      </c>
      <c r="J454" s="93">
        <v>0</v>
      </c>
      <c r="K454" s="93">
        <v>0</v>
      </c>
      <c r="L454" s="93">
        <v>0</v>
      </c>
      <c r="M454" s="93">
        <v>0</v>
      </c>
      <c r="N454" s="94">
        <v>0</v>
      </c>
      <c r="O454" s="94" t="str">
        <v/>
      </c>
      <c r="P454" s="93">
        <v>0</v>
      </c>
      <c r="Q454" s="92">
        <v>0</v>
      </c>
    </row>
    <row r="455" spans="2:17" x14ac:dyDescent="0.25">
      <c r="B455" s="92">
        <v>0</v>
      </c>
      <c r="C455" s="90">
        <v>0</v>
      </c>
      <c r="D455" s="91">
        <v>0</v>
      </c>
      <c r="E455" s="92">
        <v>0</v>
      </c>
      <c r="F455" s="92">
        <v>0</v>
      </c>
      <c r="G455" s="92">
        <v>0</v>
      </c>
      <c r="H455" s="91">
        <v>0</v>
      </c>
      <c r="I455" s="91">
        <v>0</v>
      </c>
      <c r="J455" s="93">
        <v>0</v>
      </c>
      <c r="K455" s="93">
        <v>0</v>
      </c>
      <c r="L455" s="93">
        <v>0</v>
      </c>
      <c r="M455" s="93">
        <v>0</v>
      </c>
      <c r="N455" s="94">
        <v>0</v>
      </c>
      <c r="O455" s="94" t="str">
        <v/>
      </c>
      <c r="P455" s="93">
        <v>0</v>
      </c>
      <c r="Q455" s="92">
        <v>0</v>
      </c>
    </row>
    <row r="456" spans="2:17" x14ac:dyDescent="0.25">
      <c r="B456" s="92">
        <v>0</v>
      </c>
      <c r="C456" s="90">
        <v>0</v>
      </c>
      <c r="D456" s="91">
        <v>0</v>
      </c>
      <c r="E456" s="92">
        <v>0</v>
      </c>
      <c r="F456" s="92">
        <v>0</v>
      </c>
      <c r="G456" s="92">
        <v>0</v>
      </c>
      <c r="H456" s="91">
        <v>0</v>
      </c>
      <c r="I456" s="91">
        <v>0</v>
      </c>
      <c r="J456" s="93">
        <v>0</v>
      </c>
      <c r="K456" s="93">
        <v>0</v>
      </c>
      <c r="L456" s="93">
        <v>0</v>
      </c>
      <c r="M456" s="93">
        <v>0</v>
      </c>
      <c r="N456" s="94">
        <v>0</v>
      </c>
      <c r="O456" s="94" t="str">
        <v/>
      </c>
      <c r="P456" s="93">
        <v>0</v>
      </c>
      <c r="Q456" s="92">
        <v>0</v>
      </c>
    </row>
    <row r="457" spans="2:17" x14ac:dyDescent="0.25">
      <c r="B457" s="92">
        <v>0</v>
      </c>
      <c r="C457" s="90">
        <v>0</v>
      </c>
      <c r="D457" s="91">
        <v>0</v>
      </c>
      <c r="E457" s="92">
        <v>0</v>
      </c>
      <c r="F457" s="92">
        <v>0</v>
      </c>
      <c r="G457" s="92">
        <v>0</v>
      </c>
      <c r="H457" s="91">
        <v>0</v>
      </c>
      <c r="I457" s="91">
        <v>0</v>
      </c>
      <c r="J457" s="93">
        <v>0</v>
      </c>
      <c r="K457" s="93">
        <v>0</v>
      </c>
      <c r="L457" s="93">
        <v>0</v>
      </c>
      <c r="M457" s="93">
        <v>0</v>
      </c>
      <c r="N457" s="94">
        <v>0</v>
      </c>
      <c r="O457" s="94" t="str">
        <v/>
      </c>
      <c r="P457" s="93">
        <v>0</v>
      </c>
      <c r="Q457" s="92">
        <v>0</v>
      </c>
    </row>
    <row r="458" spans="2:17" x14ac:dyDescent="0.25">
      <c r="B458" s="92">
        <v>0</v>
      </c>
      <c r="C458" s="90">
        <v>0</v>
      </c>
      <c r="D458" s="91">
        <v>0</v>
      </c>
      <c r="E458" s="92">
        <v>0</v>
      </c>
      <c r="F458" s="92">
        <v>0</v>
      </c>
      <c r="G458" s="92">
        <v>0</v>
      </c>
      <c r="H458" s="91">
        <v>0</v>
      </c>
      <c r="I458" s="91">
        <v>0</v>
      </c>
      <c r="J458" s="93">
        <v>0</v>
      </c>
      <c r="K458" s="93">
        <v>0</v>
      </c>
      <c r="L458" s="93">
        <v>0</v>
      </c>
      <c r="M458" s="93">
        <v>0</v>
      </c>
      <c r="N458" s="94">
        <v>0</v>
      </c>
      <c r="O458" s="94" t="str">
        <v/>
      </c>
      <c r="P458" s="93">
        <v>0</v>
      </c>
      <c r="Q458" s="92">
        <v>0</v>
      </c>
    </row>
    <row r="459" spans="2:17" x14ac:dyDescent="0.25">
      <c r="B459" s="92">
        <v>0</v>
      </c>
      <c r="C459" s="90">
        <v>0</v>
      </c>
      <c r="D459" s="91">
        <v>0</v>
      </c>
      <c r="E459" s="92">
        <v>0</v>
      </c>
      <c r="F459" s="92">
        <v>0</v>
      </c>
      <c r="G459" s="92">
        <v>0</v>
      </c>
      <c r="H459" s="91">
        <v>0</v>
      </c>
      <c r="I459" s="91">
        <v>0</v>
      </c>
      <c r="J459" s="93">
        <v>0</v>
      </c>
      <c r="K459" s="93">
        <v>0</v>
      </c>
      <c r="L459" s="93">
        <v>0</v>
      </c>
      <c r="M459" s="93">
        <v>0</v>
      </c>
      <c r="N459" s="94">
        <v>0</v>
      </c>
      <c r="O459" s="94" t="str">
        <v/>
      </c>
      <c r="P459" s="93">
        <v>0</v>
      </c>
      <c r="Q459" s="92">
        <v>0</v>
      </c>
    </row>
    <row r="460" spans="2:17" x14ac:dyDescent="0.25">
      <c r="B460" s="92">
        <v>0</v>
      </c>
      <c r="C460" s="90">
        <v>0</v>
      </c>
      <c r="D460" s="91">
        <v>0</v>
      </c>
      <c r="E460" s="92">
        <v>0</v>
      </c>
      <c r="F460" s="92">
        <v>0</v>
      </c>
      <c r="G460" s="92">
        <v>0</v>
      </c>
      <c r="H460" s="91">
        <v>0</v>
      </c>
      <c r="I460" s="91">
        <v>0</v>
      </c>
      <c r="J460" s="93">
        <v>0</v>
      </c>
      <c r="K460" s="93">
        <v>0</v>
      </c>
      <c r="L460" s="93">
        <v>0</v>
      </c>
      <c r="M460" s="93">
        <v>0</v>
      </c>
      <c r="N460" s="94">
        <v>0</v>
      </c>
      <c r="O460" s="94" t="str">
        <v/>
      </c>
      <c r="P460" s="93">
        <v>0</v>
      </c>
      <c r="Q460" s="92">
        <v>0</v>
      </c>
    </row>
    <row r="461" spans="2:17" x14ac:dyDescent="0.25">
      <c r="B461" s="92">
        <v>0</v>
      </c>
      <c r="C461" s="90">
        <v>0</v>
      </c>
      <c r="D461" s="91">
        <v>0</v>
      </c>
      <c r="E461" s="92">
        <v>0</v>
      </c>
      <c r="F461" s="92">
        <v>0</v>
      </c>
      <c r="G461" s="92">
        <v>0</v>
      </c>
      <c r="H461" s="91">
        <v>0</v>
      </c>
      <c r="I461" s="91">
        <v>0</v>
      </c>
      <c r="J461" s="93">
        <v>0</v>
      </c>
      <c r="K461" s="93">
        <v>0</v>
      </c>
      <c r="L461" s="93">
        <v>0</v>
      </c>
      <c r="M461" s="93">
        <v>0</v>
      </c>
      <c r="N461" s="94">
        <v>0</v>
      </c>
      <c r="O461" s="94" t="str">
        <v/>
      </c>
      <c r="P461" s="93">
        <v>0</v>
      </c>
      <c r="Q461" s="92">
        <v>0</v>
      </c>
    </row>
    <row r="462" spans="2:17" x14ac:dyDescent="0.25">
      <c r="B462" s="92">
        <v>0</v>
      </c>
      <c r="C462" s="90">
        <v>0</v>
      </c>
      <c r="D462" s="91">
        <v>0</v>
      </c>
      <c r="E462" s="92">
        <v>0</v>
      </c>
      <c r="F462" s="92">
        <v>0</v>
      </c>
      <c r="G462" s="92">
        <v>0</v>
      </c>
      <c r="H462" s="91">
        <v>0</v>
      </c>
      <c r="I462" s="91">
        <v>0</v>
      </c>
      <c r="J462" s="93">
        <v>0</v>
      </c>
      <c r="K462" s="93">
        <v>0</v>
      </c>
      <c r="L462" s="93">
        <v>0</v>
      </c>
      <c r="M462" s="93">
        <v>0</v>
      </c>
      <c r="N462" s="94">
        <v>0</v>
      </c>
      <c r="O462" s="94" t="str">
        <v/>
      </c>
      <c r="P462" s="93">
        <v>0</v>
      </c>
      <c r="Q462" s="92">
        <v>0</v>
      </c>
    </row>
    <row r="463" spans="2:17" x14ac:dyDescent="0.25">
      <c r="B463" s="92">
        <v>0</v>
      </c>
      <c r="C463" s="90">
        <v>0</v>
      </c>
      <c r="D463" s="91">
        <v>0</v>
      </c>
      <c r="E463" s="92">
        <v>0</v>
      </c>
      <c r="F463" s="92">
        <v>0</v>
      </c>
      <c r="G463" s="92">
        <v>0</v>
      </c>
      <c r="H463" s="91">
        <v>0</v>
      </c>
      <c r="I463" s="91">
        <v>0</v>
      </c>
      <c r="J463" s="93">
        <v>0</v>
      </c>
      <c r="K463" s="93">
        <v>0</v>
      </c>
      <c r="L463" s="93">
        <v>0</v>
      </c>
      <c r="M463" s="93">
        <v>0</v>
      </c>
      <c r="N463" s="94">
        <v>0</v>
      </c>
      <c r="O463" s="94" t="str">
        <v/>
      </c>
      <c r="P463" s="93">
        <v>0</v>
      </c>
      <c r="Q463" s="92">
        <v>0</v>
      </c>
    </row>
    <row r="464" spans="2:17" x14ac:dyDescent="0.25">
      <c r="B464" s="92">
        <v>0</v>
      </c>
      <c r="C464" s="90">
        <v>0</v>
      </c>
      <c r="D464" s="91">
        <v>0</v>
      </c>
      <c r="E464" s="92">
        <v>0</v>
      </c>
      <c r="F464" s="92">
        <v>0</v>
      </c>
      <c r="G464" s="92">
        <v>0</v>
      </c>
      <c r="H464" s="91">
        <v>0</v>
      </c>
      <c r="I464" s="91">
        <v>0</v>
      </c>
      <c r="J464" s="93">
        <v>0</v>
      </c>
      <c r="K464" s="93">
        <v>0</v>
      </c>
      <c r="L464" s="93">
        <v>0</v>
      </c>
      <c r="M464" s="93">
        <v>0</v>
      </c>
      <c r="N464" s="94">
        <v>0</v>
      </c>
      <c r="O464" s="94" t="str">
        <v/>
      </c>
      <c r="P464" s="93">
        <v>0</v>
      </c>
      <c r="Q464" s="92">
        <v>0</v>
      </c>
    </row>
    <row r="465" spans="2:17" x14ac:dyDescent="0.25">
      <c r="B465" s="92">
        <v>0</v>
      </c>
      <c r="C465" s="90">
        <v>0</v>
      </c>
      <c r="D465" s="91">
        <v>0</v>
      </c>
      <c r="E465" s="92">
        <v>0</v>
      </c>
      <c r="F465" s="92">
        <v>0</v>
      </c>
      <c r="G465" s="92">
        <v>0</v>
      </c>
      <c r="H465" s="91">
        <v>0</v>
      </c>
      <c r="I465" s="91">
        <v>0</v>
      </c>
      <c r="J465" s="93">
        <v>0</v>
      </c>
      <c r="K465" s="93">
        <v>0</v>
      </c>
      <c r="L465" s="93">
        <v>0</v>
      </c>
      <c r="M465" s="93">
        <v>0</v>
      </c>
      <c r="N465" s="94">
        <v>0</v>
      </c>
      <c r="O465" s="94" t="str">
        <v/>
      </c>
      <c r="P465" s="93">
        <v>0</v>
      </c>
      <c r="Q465" s="92">
        <v>0</v>
      </c>
    </row>
    <row r="466" spans="2:17" x14ac:dyDescent="0.25">
      <c r="B466" s="92">
        <v>0</v>
      </c>
      <c r="C466" s="90">
        <v>0</v>
      </c>
      <c r="D466" s="91">
        <v>0</v>
      </c>
      <c r="E466" s="92">
        <v>0</v>
      </c>
      <c r="F466" s="92">
        <v>0</v>
      </c>
      <c r="G466" s="92">
        <v>0</v>
      </c>
      <c r="H466" s="91">
        <v>0</v>
      </c>
      <c r="I466" s="91">
        <v>0</v>
      </c>
      <c r="J466" s="93">
        <v>0</v>
      </c>
      <c r="K466" s="93">
        <v>0</v>
      </c>
      <c r="L466" s="93">
        <v>0</v>
      </c>
      <c r="M466" s="93">
        <v>0</v>
      </c>
      <c r="N466" s="94">
        <v>0</v>
      </c>
      <c r="O466" s="94" t="str">
        <v/>
      </c>
      <c r="P466" s="93">
        <v>0</v>
      </c>
      <c r="Q466" s="92">
        <v>0</v>
      </c>
    </row>
    <row r="467" spans="2:17" x14ac:dyDescent="0.25">
      <c r="B467" s="92">
        <v>0</v>
      </c>
      <c r="C467" s="90">
        <v>0</v>
      </c>
      <c r="D467" s="91">
        <v>0</v>
      </c>
      <c r="E467" s="92">
        <v>0</v>
      </c>
      <c r="F467" s="92">
        <v>0</v>
      </c>
      <c r="G467" s="92">
        <v>0</v>
      </c>
      <c r="H467" s="91">
        <v>0</v>
      </c>
      <c r="I467" s="91">
        <v>0</v>
      </c>
      <c r="J467" s="93">
        <v>0</v>
      </c>
      <c r="K467" s="93">
        <v>0</v>
      </c>
      <c r="L467" s="93">
        <v>0</v>
      </c>
      <c r="M467" s="93">
        <v>0</v>
      </c>
      <c r="N467" s="94">
        <v>0</v>
      </c>
      <c r="O467" s="94" t="str">
        <v/>
      </c>
      <c r="P467" s="93">
        <v>0</v>
      </c>
      <c r="Q467" s="92">
        <v>0</v>
      </c>
    </row>
    <row r="468" spans="2:17" x14ac:dyDescent="0.25">
      <c r="B468" s="92">
        <v>0</v>
      </c>
      <c r="C468" s="90">
        <v>0</v>
      </c>
      <c r="D468" s="91">
        <v>0</v>
      </c>
      <c r="E468" s="92">
        <v>0</v>
      </c>
      <c r="F468" s="92">
        <v>0</v>
      </c>
      <c r="G468" s="92">
        <v>0</v>
      </c>
      <c r="H468" s="91">
        <v>0</v>
      </c>
      <c r="I468" s="91">
        <v>0</v>
      </c>
      <c r="J468" s="93">
        <v>0</v>
      </c>
      <c r="K468" s="93">
        <v>0</v>
      </c>
      <c r="L468" s="93">
        <v>0</v>
      </c>
      <c r="M468" s="93">
        <v>0</v>
      </c>
      <c r="N468" s="94">
        <v>0</v>
      </c>
      <c r="O468" s="94" t="str">
        <v/>
      </c>
      <c r="P468" s="93">
        <v>0</v>
      </c>
      <c r="Q468" s="92">
        <v>0</v>
      </c>
    </row>
    <row r="469" spans="2:17" x14ac:dyDescent="0.25">
      <c r="B469" s="92">
        <v>0</v>
      </c>
      <c r="C469" s="90">
        <v>0</v>
      </c>
      <c r="D469" s="91">
        <v>0</v>
      </c>
      <c r="E469" s="92">
        <v>0</v>
      </c>
      <c r="F469" s="92">
        <v>0</v>
      </c>
      <c r="G469" s="92">
        <v>0</v>
      </c>
      <c r="H469" s="91">
        <v>0</v>
      </c>
      <c r="I469" s="91">
        <v>0</v>
      </c>
      <c r="J469" s="93">
        <v>0</v>
      </c>
      <c r="K469" s="93">
        <v>0</v>
      </c>
      <c r="L469" s="93">
        <v>0</v>
      </c>
      <c r="M469" s="93">
        <v>0</v>
      </c>
      <c r="N469" s="94">
        <v>0</v>
      </c>
      <c r="O469" s="94" t="str">
        <v/>
      </c>
      <c r="P469" s="93">
        <v>0</v>
      </c>
      <c r="Q469" s="92">
        <v>0</v>
      </c>
    </row>
    <row r="470" spans="2:17" x14ac:dyDescent="0.25">
      <c r="B470" s="92">
        <v>0</v>
      </c>
      <c r="C470" s="90">
        <v>0</v>
      </c>
      <c r="D470" s="91">
        <v>0</v>
      </c>
      <c r="E470" s="92">
        <v>0</v>
      </c>
      <c r="F470" s="92">
        <v>0</v>
      </c>
      <c r="G470" s="92">
        <v>0</v>
      </c>
      <c r="H470" s="91">
        <v>0</v>
      </c>
      <c r="I470" s="91">
        <v>0</v>
      </c>
      <c r="J470" s="93">
        <v>0</v>
      </c>
      <c r="K470" s="93">
        <v>0</v>
      </c>
      <c r="L470" s="93">
        <v>0</v>
      </c>
      <c r="M470" s="93">
        <v>0</v>
      </c>
      <c r="N470" s="94">
        <v>0</v>
      </c>
      <c r="O470" s="94" t="str">
        <v/>
      </c>
      <c r="P470" s="93">
        <v>0</v>
      </c>
      <c r="Q470" s="92">
        <v>0</v>
      </c>
    </row>
    <row r="471" spans="2:17" x14ac:dyDescent="0.25">
      <c r="B471" s="92">
        <v>0</v>
      </c>
      <c r="C471" s="90">
        <v>0</v>
      </c>
      <c r="D471" s="91">
        <v>0</v>
      </c>
      <c r="E471" s="92">
        <v>0</v>
      </c>
      <c r="F471" s="92">
        <v>0</v>
      </c>
      <c r="G471" s="92">
        <v>0</v>
      </c>
      <c r="H471" s="91">
        <v>0</v>
      </c>
      <c r="I471" s="91">
        <v>0</v>
      </c>
      <c r="J471" s="93">
        <v>0</v>
      </c>
      <c r="K471" s="93">
        <v>0</v>
      </c>
      <c r="L471" s="93">
        <v>0</v>
      </c>
      <c r="M471" s="93">
        <v>0</v>
      </c>
      <c r="N471" s="94">
        <v>0</v>
      </c>
      <c r="O471" s="94" t="str">
        <v/>
      </c>
      <c r="P471" s="93">
        <v>0</v>
      </c>
      <c r="Q471" s="92">
        <v>0</v>
      </c>
    </row>
    <row r="472" spans="2:17" x14ac:dyDescent="0.25">
      <c r="B472" s="92">
        <v>0</v>
      </c>
      <c r="C472" s="90">
        <v>0</v>
      </c>
      <c r="D472" s="91">
        <v>0</v>
      </c>
      <c r="E472" s="92">
        <v>0</v>
      </c>
      <c r="F472" s="92">
        <v>0</v>
      </c>
      <c r="G472" s="92">
        <v>0</v>
      </c>
      <c r="H472" s="91">
        <v>0</v>
      </c>
      <c r="I472" s="91">
        <v>0</v>
      </c>
      <c r="J472" s="93">
        <v>0</v>
      </c>
      <c r="K472" s="93">
        <v>0</v>
      </c>
      <c r="L472" s="93">
        <v>0</v>
      </c>
      <c r="M472" s="93">
        <v>0</v>
      </c>
      <c r="N472" s="94">
        <v>0</v>
      </c>
      <c r="O472" s="94" t="str">
        <v/>
      </c>
      <c r="P472" s="93">
        <v>0</v>
      </c>
      <c r="Q472" s="92">
        <v>0</v>
      </c>
    </row>
    <row r="473" spans="2:17" x14ac:dyDescent="0.25">
      <c r="B473" s="92">
        <v>0</v>
      </c>
      <c r="C473" s="90">
        <v>0</v>
      </c>
      <c r="D473" s="91">
        <v>0</v>
      </c>
      <c r="E473" s="92">
        <v>0</v>
      </c>
      <c r="F473" s="92">
        <v>0</v>
      </c>
      <c r="G473" s="92">
        <v>0</v>
      </c>
      <c r="H473" s="91">
        <v>0</v>
      </c>
      <c r="I473" s="91">
        <v>0</v>
      </c>
      <c r="J473" s="93">
        <v>0</v>
      </c>
      <c r="K473" s="93">
        <v>0</v>
      </c>
      <c r="L473" s="93">
        <v>0</v>
      </c>
      <c r="M473" s="93">
        <v>0</v>
      </c>
      <c r="N473" s="94">
        <v>0</v>
      </c>
      <c r="O473" s="94" t="str">
        <v/>
      </c>
      <c r="P473" s="93">
        <v>0</v>
      </c>
      <c r="Q473" s="92">
        <v>0</v>
      </c>
    </row>
    <row r="474" spans="2:17" x14ac:dyDescent="0.25">
      <c r="B474" s="92">
        <v>0</v>
      </c>
      <c r="C474" s="90">
        <v>0</v>
      </c>
      <c r="D474" s="91">
        <v>0</v>
      </c>
      <c r="E474" s="92">
        <v>0</v>
      </c>
      <c r="F474" s="92">
        <v>0</v>
      </c>
      <c r="G474" s="92">
        <v>0</v>
      </c>
      <c r="H474" s="91">
        <v>0</v>
      </c>
      <c r="I474" s="91">
        <v>0</v>
      </c>
      <c r="J474" s="93">
        <v>0</v>
      </c>
      <c r="K474" s="93">
        <v>0</v>
      </c>
      <c r="L474" s="93">
        <v>0</v>
      </c>
      <c r="M474" s="93">
        <v>0</v>
      </c>
      <c r="N474" s="94">
        <v>0</v>
      </c>
      <c r="O474" s="94" t="str">
        <v/>
      </c>
      <c r="P474" s="93">
        <v>0</v>
      </c>
      <c r="Q474" s="92">
        <v>0</v>
      </c>
    </row>
    <row r="475" spans="2:17" x14ac:dyDescent="0.25">
      <c r="B475" s="92">
        <v>0</v>
      </c>
      <c r="C475" s="90">
        <v>0</v>
      </c>
      <c r="D475" s="91">
        <v>0</v>
      </c>
      <c r="E475" s="92">
        <v>0</v>
      </c>
      <c r="F475" s="92">
        <v>0</v>
      </c>
      <c r="G475" s="92">
        <v>0</v>
      </c>
      <c r="H475" s="91">
        <v>0</v>
      </c>
      <c r="I475" s="91">
        <v>0</v>
      </c>
      <c r="J475" s="93">
        <v>0</v>
      </c>
      <c r="K475" s="93">
        <v>0</v>
      </c>
      <c r="L475" s="93">
        <v>0</v>
      </c>
      <c r="M475" s="93">
        <v>0</v>
      </c>
      <c r="N475" s="94">
        <v>0</v>
      </c>
      <c r="O475" s="94" t="str">
        <v/>
      </c>
      <c r="P475" s="93">
        <v>0</v>
      </c>
      <c r="Q475" s="92">
        <v>0</v>
      </c>
    </row>
    <row r="476" spans="2:17" x14ac:dyDescent="0.25">
      <c r="B476" s="92">
        <v>0</v>
      </c>
      <c r="C476" s="90">
        <v>0</v>
      </c>
      <c r="D476" s="91">
        <v>0</v>
      </c>
      <c r="E476" s="92">
        <v>0</v>
      </c>
      <c r="F476" s="92">
        <v>0</v>
      </c>
      <c r="G476" s="92">
        <v>0</v>
      </c>
      <c r="H476" s="91">
        <v>0</v>
      </c>
      <c r="I476" s="91">
        <v>0</v>
      </c>
      <c r="J476" s="93">
        <v>0</v>
      </c>
      <c r="K476" s="93">
        <v>0</v>
      </c>
      <c r="L476" s="93">
        <v>0</v>
      </c>
      <c r="M476" s="93">
        <v>0</v>
      </c>
      <c r="N476" s="94">
        <v>0</v>
      </c>
      <c r="O476" s="94" t="str">
        <v/>
      </c>
      <c r="P476" s="93">
        <v>0</v>
      </c>
      <c r="Q476" s="92">
        <v>0</v>
      </c>
    </row>
    <row r="477" spans="2:17" x14ac:dyDescent="0.25">
      <c r="B477" s="92">
        <v>0</v>
      </c>
      <c r="C477" s="90">
        <v>0</v>
      </c>
      <c r="D477" s="91">
        <v>0</v>
      </c>
      <c r="E477" s="92">
        <v>0</v>
      </c>
      <c r="F477" s="92">
        <v>0</v>
      </c>
      <c r="G477" s="92">
        <v>0</v>
      </c>
      <c r="H477" s="91">
        <v>0</v>
      </c>
      <c r="I477" s="91">
        <v>0</v>
      </c>
      <c r="J477" s="93">
        <v>0</v>
      </c>
      <c r="K477" s="93">
        <v>0</v>
      </c>
      <c r="L477" s="93">
        <v>0</v>
      </c>
      <c r="M477" s="93">
        <v>0</v>
      </c>
      <c r="N477" s="94">
        <v>0</v>
      </c>
      <c r="O477" s="94" t="str">
        <v/>
      </c>
      <c r="P477" s="93">
        <v>0</v>
      </c>
      <c r="Q477" s="92">
        <v>0</v>
      </c>
    </row>
    <row r="478" spans="2:17" x14ac:dyDescent="0.25">
      <c r="B478" s="92">
        <v>0</v>
      </c>
      <c r="C478" s="90">
        <v>0</v>
      </c>
      <c r="D478" s="91">
        <v>0</v>
      </c>
      <c r="E478" s="92">
        <v>0</v>
      </c>
      <c r="F478" s="92">
        <v>0</v>
      </c>
      <c r="G478" s="92">
        <v>0</v>
      </c>
      <c r="H478" s="91">
        <v>0</v>
      </c>
      <c r="I478" s="91">
        <v>0</v>
      </c>
      <c r="J478" s="93">
        <v>0</v>
      </c>
      <c r="K478" s="93">
        <v>0</v>
      </c>
      <c r="L478" s="93">
        <v>0</v>
      </c>
      <c r="M478" s="93">
        <v>0</v>
      </c>
      <c r="N478" s="94">
        <v>0</v>
      </c>
      <c r="O478" s="94" t="str">
        <v/>
      </c>
      <c r="P478" s="93">
        <v>0</v>
      </c>
      <c r="Q478" s="92">
        <v>0</v>
      </c>
    </row>
    <row r="479" spans="2:17" x14ac:dyDescent="0.25">
      <c r="B479" s="92">
        <v>0</v>
      </c>
      <c r="C479" s="90">
        <v>0</v>
      </c>
      <c r="D479" s="91">
        <v>0</v>
      </c>
      <c r="E479" s="92">
        <v>0</v>
      </c>
      <c r="F479" s="92">
        <v>0</v>
      </c>
      <c r="G479" s="92">
        <v>0</v>
      </c>
      <c r="H479" s="91">
        <v>0</v>
      </c>
      <c r="I479" s="91">
        <v>0</v>
      </c>
      <c r="J479" s="93">
        <v>0</v>
      </c>
      <c r="K479" s="93">
        <v>0</v>
      </c>
      <c r="L479" s="93">
        <v>0</v>
      </c>
      <c r="M479" s="93">
        <v>0</v>
      </c>
      <c r="N479" s="94">
        <v>0</v>
      </c>
      <c r="O479" s="94" t="str">
        <v/>
      </c>
      <c r="P479" s="93">
        <v>0</v>
      </c>
      <c r="Q479" s="92">
        <v>0</v>
      </c>
    </row>
    <row r="480" spans="2:17" x14ac:dyDescent="0.25">
      <c r="B480" s="92">
        <v>0</v>
      </c>
      <c r="C480" s="90">
        <v>0</v>
      </c>
      <c r="D480" s="91">
        <v>0</v>
      </c>
      <c r="E480" s="92">
        <v>0</v>
      </c>
      <c r="F480" s="92">
        <v>0</v>
      </c>
      <c r="G480" s="92">
        <v>0</v>
      </c>
      <c r="H480" s="91">
        <v>0</v>
      </c>
      <c r="I480" s="91">
        <v>0</v>
      </c>
      <c r="J480" s="93">
        <v>0</v>
      </c>
      <c r="K480" s="93">
        <v>0</v>
      </c>
      <c r="L480" s="93">
        <v>0</v>
      </c>
      <c r="M480" s="93">
        <v>0</v>
      </c>
      <c r="N480" s="94">
        <v>0</v>
      </c>
      <c r="O480" s="94" t="str">
        <v/>
      </c>
      <c r="P480" s="93">
        <v>0</v>
      </c>
      <c r="Q480" s="92">
        <v>0</v>
      </c>
    </row>
    <row r="481" spans="2:17" x14ac:dyDescent="0.25">
      <c r="B481" s="92">
        <v>0</v>
      </c>
      <c r="C481" s="90">
        <v>0</v>
      </c>
      <c r="D481" s="91">
        <v>0</v>
      </c>
      <c r="E481" s="92">
        <v>0</v>
      </c>
      <c r="F481" s="92">
        <v>0</v>
      </c>
      <c r="G481" s="92">
        <v>0</v>
      </c>
      <c r="H481" s="91">
        <v>0</v>
      </c>
      <c r="I481" s="91">
        <v>0</v>
      </c>
      <c r="J481" s="93">
        <v>0</v>
      </c>
      <c r="K481" s="93">
        <v>0</v>
      </c>
      <c r="L481" s="93">
        <v>0</v>
      </c>
      <c r="M481" s="93">
        <v>0</v>
      </c>
      <c r="N481" s="94">
        <v>0</v>
      </c>
      <c r="O481" s="94" t="str">
        <v/>
      </c>
      <c r="P481" s="93">
        <v>0</v>
      </c>
      <c r="Q481" s="92">
        <v>0</v>
      </c>
    </row>
    <row r="482" spans="2:17" x14ac:dyDescent="0.25">
      <c r="B482" s="92">
        <v>0</v>
      </c>
      <c r="C482" s="90">
        <v>0</v>
      </c>
      <c r="D482" s="91">
        <v>0</v>
      </c>
      <c r="E482" s="92">
        <v>0</v>
      </c>
      <c r="F482" s="92">
        <v>0</v>
      </c>
      <c r="G482" s="92">
        <v>0</v>
      </c>
      <c r="H482" s="91">
        <v>0</v>
      </c>
      <c r="I482" s="91">
        <v>0</v>
      </c>
      <c r="J482" s="93">
        <v>0</v>
      </c>
      <c r="K482" s="93">
        <v>0</v>
      </c>
      <c r="L482" s="93">
        <v>0</v>
      </c>
      <c r="M482" s="93">
        <v>0</v>
      </c>
      <c r="N482" s="94">
        <v>0</v>
      </c>
      <c r="O482" s="94" t="str">
        <v/>
      </c>
      <c r="P482" s="93">
        <v>0</v>
      </c>
      <c r="Q482" s="92">
        <v>0</v>
      </c>
    </row>
    <row r="483" spans="2:17" x14ac:dyDescent="0.25">
      <c r="B483" s="92">
        <v>0</v>
      </c>
      <c r="C483" s="90">
        <v>0</v>
      </c>
      <c r="D483" s="91">
        <v>0</v>
      </c>
      <c r="E483" s="92">
        <v>0</v>
      </c>
      <c r="F483" s="92">
        <v>0</v>
      </c>
      <c r="G483" s="92">
        <v>0</v>
      </c>
      <c r="H483" s="91">
        <v>0</v>
      </c>
      <c r="I483" s="91">
        <v>0</v>
      </c>
      <c r="J483" s="93">
        <v>0</v>
      </c>
      <c r="K483" s="93">
        <v>0</v>
      </c>
      <c r="L483" s="93">
        <v>0</v>
      </c>
      <c r="M483" s="93">
        <v>0</v>
      </c>
      <c r="N483" s="94">
        <v>0</v>
      </c>
      <c r="O483" s="94" t="str">
        <v/>
      </c>
      <c r="P483" s="93">
        <v>0</v>
      </c>
      <c r="Q483" s="92">
        <v>0</v>
      </c>
    </row>
    <row r="484" spans="2:17" x14ac:dyDescent="0.25">
      <c r="B484" s="92">
        <v>0</v>
      </c>
      <c r="C484" s="90">
        <v>0</v>
      </c>
      <c r="D484" s="91">
        <v>0</v>
      </c>
      <c r="E484" s="92">
        <v>0</v>
      </c>
      <c r="F484" s="92">
        <v>0</v>
      </c>
      <c r="G484" s="92">
        <v>0</v>
      </c>
      <c r="H484" s="91">
        <v>0</v>
      </c>
      <c r="I484" s="91">
        <v>0</v>
      </c>
      <c r="J484" s="93">
        <v>0</v>
      </c>
      <c r="K484" s="93">
        <v>0</v>
      </c>
      <c r="L484" s="93">
        <v>0</v>
      </c>
      <c r="M484" s="93">
        <v>0</v>
      </c>
      <c r="N484" s="94">
        <v>0</v>
      </c>
      <c r="O484" s="94" t="str">
        <v/>
      </c>
      <c r="P484" s="93">
        <v>0</v>
      </c>
      <c r="Q484" s="92">
        <v>0</v>
      </c>
    </row>
    <row r="485" spans="2:17" x14ac:dyDescent="0.25">
      <c r="B485" s="92">
        <v>0</v>
      </c>
      <c r="C485" s="90">
        <v>0</v>
      </c>
      <c r="D485" s="91">
        <v>0</v>
      </c>
      <c r="E485" s="92">
        <v>0</v>
      </c>
      <c r="F485" s="92">
        <v>0</v>
      </c>
      <c r="G485" s="92">
        <v>0</v>
      </c>
      <c r="H485" s="91">
        <v>0</v>
      </c>
      <c r="I485" s="91">
        <v>0</v>
      </c>
      <c r="J485" s="93">
        <v>0</v>
      </c>
      <c r="K485" s="93">
        <v>0</v>
      </c>
      <c r="L485" s="93">
        <v>0</v>
      </c>
      <c r="M485" s="93">
        <v>0</v>
      </c>
      <c r="N485" s="94">
        <v>0</v>
      </c>
      <c r="O485" s="94" t="str">
        <v/>
      </c>
      <c r="P485" s="93">
        <v>0</v>
      </c>
      <c r="Q485" s="92">
        <v>0</v>
      </c>
    </row>
    <row r="486" spans="2:17" x14ac:dyDescent="0.25">
      <c r="B486" s="92">
        <v>0</v>
      </c>
      <c r="C486" s="90">
        <v>0</v>
      </c>
      <c r="D486" s="91">
        <v>0</v>
      </c>
      <c r="E486" s="92">
        <v>0</v>
      </c>
      <c r="F486" s="92">
        <v>0</v>
      </c>
      <c r="G486" s="92">
        <v>0</v>
      </c>
      <c r="H486" s="91">
        <v>0</v>
      </c>
      <c r="I486" s="91">
        <v>0</v>
      </c>
      <c r="J486" s="93">
        <v>0</v>
      </c>
      <c r="K486" s="93">
        <v>0</v>
      </c>
      <c r="L486" s="93">
        <v>0</v>
      </c>
      <c r="M486" s="93">
        <v>0</v>
      </c>
      <c r="N486" s="94">
        <v>0</v>
      </c>
      <c r="O486" s="94" t="str">
        <v/>
      </c>
      <c r="P486" s="93">
        <v>0</v>
      </c>
      <c r="Q486" s="92">
        <v>0</v>
      </c>
    </row>
    <row r="487" spans="2:17" x14ac:dyDescent="0.25">
      <c r="B487" s="92">
        <v>0</v>
      </c>
      <c r="C487" s="90">
        <v>0</v>
      </c>
      <c r="D487" s="91">
        <v>0</v>
      </c>
      <c r="E487" s="92">
        <v>0</v>
      </c>
      <c r="F487" s="92">
        <v>0</v>
      </c>
      <c r="G487" s="92">
        <v>0</v>
      </c>
      <c r="H487" s="91">
        <v>0</v>
      </c>
      <c r="I487" s="91">
        <v>0</v>
      </c>
      <c r="J487" s="93">
        <v>0</v>
      </c>
      <c r="K487" s="93">
        <v>0</v>
      </c>
      <c r="L487" s="93">
        <v>0</v>
      </c>
      <c r="M487" s="93">
        <v>0</v>
      </c>
      <c r="N487" s="94">
        <v>0</v>
      </c>
      <c r="O487" s="94" t="str">
        <v/>
      </c>
      <c r="P487" s="93">
        <v>0</v>
      </c>
      <c r="Q487" s="92">
        <v>0</v>
      </c>
    </row>
    <row r="488" spans="2:17" x14ac:dyDescent="0.25">
      <c r="B488" s="92">
        <v>0</v>
      </c>
      <c r="C488" s="90">
        <v>0</v>
      </c>
      <c r="D488" s="91">
        <v>0</v>
      </c>
      <c r="E488" s="92">
        <v>0</v>
      </c>
      <c r="F488" s="92">
        <v>0</v>
      </c>
      <c r="G488" s="92">
        <v>0</v>
      </c>
      <c r="H488" s="91">
        <v>0</v>
      </c>
      <c r="I488" s="91">
        <v>0</v>
      </c>
      <c r="J488" s="93">
        <v>0</v>
      </c>
      <c r="K488" s="93">
        <v>0</v>
      </c>
      <c r="L488" s="93">
        <v>0</v>
      </c>
      <c r="M488" s="93">
        <v>0</v>
      </c>
      <c r="N488" s="94">
        <v>0</v>
      </c>
      <c r="O488" s="94" t="str">
        <v/>
      </c>
      <c r="P488" s="93">
        <v>0</v>
      </c>
      <c r="Q488" s="92">
        <v>0</v>
      </c>
    </row>
    <row r="489" spans="2:17" x14ac:dyDescent="0.25">
      <c r="B489" s="92">
        <v>0</v>
      </c>
      <c r="C489" s="90">
        <v>0</v>
      </c>
      <c r="D489" s="91">
        <v>0</v>
      </c>
      <c r="E489" s="92">
        <v>0</v>
      </c>
      <c r="F489" s="92">
        <v>0</v>
      </c>
      <c r="G489" s="92">
        <v>0</v>
      </c>
      <c r="H489" s="91">
        <v>0</v>
      </c>
      <c r="I489" s="91">
        <v>0</v>
      </c>
      <c r="J489" s="93">
        <v>0</v>
      </c>
      <c r="K489" s="93">
        <v>0</v>
      </c>
      <c r="L489" s="93">
        <v>0</v>
      </c>
      <c r="M489" s="93">
        <v>0</v>
      </c>
      <c r="N489" s="94">
        <v>0</v>
      </c>
      <c r="O489" s="94" t="str">
        <v/>
      </c>
      <c r="P489" s="93">
        <v>0</v>
      </c>
      <c r="Q489" s="92">
        <v>0</v>
      </c>
    </row>
    <row r="490" spans="2:17" x14ac:dyDescent="0.25">
      <c r="B490" s="92">
        <v>0</v>
      </c>
      <c r="C490" s="90">
        <v>0</v>
      </c>
      <c r="D490" s="91">
        <v>0</v>
      </c>
      <c r="E490" s="92">
        <v>0</v>
      </c>
      <c r="F490" s="92">
        <v>0</v>
      </c>
      <c r="G490" s="92">
        <v>0</v>
      </c>
      <c r="H490" s="91">
        <v>0</v>
      </c>
      <c r="I490" s="91">
        <v>0</v>
      </c>
      <c r="J490" s="93">
        <v>0</v>
      </c>
      <c r="K490" s="93">
        <v>0</v>
      </c>
      <c r="L490" s="93">
        <v>0</v>
      </c>
      <c r="M490" s="93">
        <v>0</v>
      </c>
      <c r="N490" s="94">
        <v>0</v>
      </c>
      <c r="O490" s="94" t="str">
        <v/>
      </c>
      <c r="P490" s="93">
        <v>0</v>
      </c>
      <c r="Q490" s="92">
        <v>0</v>
      </c>
    </row>
    <row r="491" spans="2:17" x14ac:dyDescent="0.25">
      <c r="B491" s="92">
        <v>0</v>
      </c>
      <c r="C491" s="90">
        <v>0</v>
      </c>
      <c r="D491" s="91">
        <v>0</v>
      </c>
      <c r="E491" s="92">
        <v>0</v>
      </c>
      <c r="F491" s="92">
        <v>0</v>
      </c>
      <c r="G491" s="92">
        <v>0</v>
      </c>
      <c r="H491" s="91">
        <v>0</v>
      </c>
      <c r="I491" s="91">
        <v>0</v>
      </c>
      <c r="J491" s="93">
        <v>0</v>
      </c>
      <c r="K491" s="93">
        <v>0</v>
      </c>
      <c r="L491" s="93">
        <v>0</v>
      </c>
      <c r="M491" s="93">
        <v>0</v>
      </c>
      <c r="N491" s="94">
        <v>0</v>
      </c>
      <c r="O491" s="94" t="str">
        <v/>
      </c>
      <c r="P491" s="93">
        <v>0</v>
      </c>
      <c r="Q491" s="92">
        <v>0</v>
      </c>
    </row>
    <row r="492" spans="2:17" x14ac:dyDescent="0.25">
      <c r="B492" s="92">
        <v>0</v>
      </c>
      <c r="C492" s="90">
        <v>0</v>
      </c>
      <c r="D492" s="91">
        <v>0</v>
      </c>
      <c r="E492" s="92">
        <v>0</v>
      </c>
      <c r="F492" s="92">
        <v>0</v>
      </c>
      <c r="G492" s="92">
        <v>0</v>
      </c>
      <c r="H492" s="91">
        <v>0</v>
      </c>
      <c r="I492" s="91">
        <v>0</v>
      </c>
      <c r="J492" s="93">
        <v>0</v>
      </c>
      <c r="K492" s="93">
        <v>0</v>
      </c>
      <c r="L492" s="93">
        <v>0</v>
      </c>
      <c r="M492" s="93">
        <v>0</v>
      </c>
      <c r="N492" s="94">
        <v>0</v>
      </c>
      <c r="O492" s="94" t="str">
        <v/>
      </c>
      <c r="P492" s="93">
        <v>0</v>
      </c>
      <c r="Q492" s="92">
        <v>0</v>
      </c>
    </row>
    <row r="493" spans="2:17" x14ac:dyDescent="0.25">
      <c r="B493" s="92">
        <v>0</v>
      </c>
      <c r="C493" s="90">
        <v>0</v>
      </c>
      <c r="D493" s="91">
        <v>0</v>
      </c>
      <c r="E493" s="92">
        <v>0</v>
      </c>
      <c r="F493" s="92">
        <v>0</v>
      </c>
      <c r="G493" s="92">
        <v>0</v>
      </c>
      <c r="H493" s="91">
        <v>0</v>
      </c>
      <c r="I493" s="91">
        <v>0</v>
      </c>
      <c r="J493" s="93">
        <v>0</v>
      </c>
      <c r="K493" s="93">
        <v>0</v>
      </c>
      <c r="L493" s="93">
        <v>0</v>
      </c>
      <c r="M493" s="93">
        <v>0</v>
      </c>
      <c r="N493" s="94">
        <v>0</v>
      </c>
      <c r="O493" s="94" t="str">
        <v/>
      </c>
      <c r="P493" s="93">
        <v>0</v>
      </c>
      <c r="Q493" s="92">
        <v>0</v>
      </c>
    </row>
    <row r="494" spans="2:17" x14ac:dyDescent="0.25">
      <c r="B494" s="92">
        <v>0</v>
      </c>
      <c r="C494" s="90">
        <v>0</v>
      </c>
      <c r="D494" s="91">
        <v>0</v>
      </c>
      <c r="E494" s="92">
        <v>0</v>
      </c>
      <c r="F494" s="92">
        <v>0</v>
      </c>
      <c r="G494" s="92">
        <v>0</v>
      </c>
      <c r="H494" s="91">
        <v>0</v>
      </c>
      <c r="I494" s="91">
        <v>0</v>
      </c>
      <c r="J494" s="93">
        <v>0</v>
      </c>
      <c r="K494" s="93">
        <v>0</v>
      </c>
      <c r="L494" s="93">
        <v>0</v>
      </c>
      <c r="M494" s="93">
        <v>0</v>
      </c>
      <c r="N494" s="94">
        <v>0</v>
      </c>
      <c r="O494" s="94" t="str">
        <v/>
      </c>
      <c r="P494" s="93">
        <v>0</v>
      </c>
      <c r="Q494" s="92">
        <v>0</v>
      </c>
    </row>
    <row r="495" spans="2:17" x14ac:dyDescent="0.25">
      <c r="B495" s="92">
        <v>0</v>
      </c>
      <c r="C495" s="90">
        <v>0</v>
      </c>
      <c r="D495" s="91">
        <v>0</v>
      </c>
      <c r="E495" s="92">
        <v>0</v>
      </c>
      <c r="F495" s="92">
        <v>0</v>
      </c>
      <c r="G495" s="92">
        <v>0</v>
      </c>
      <c r="H495" s="91">
        <v>0</v>
      </c>
      <c r="I495" s="91">
        <v>0</v>
      </c>
      <c r="J495" s="93">
        <v>0</v>
      </c>
      <c r="K495" s="93">
        <v>0</v>
      </c>
      <c r="L495" s="93">
        <v>0</v>
      </c>
      <c r="M495" s="93">
        <v>0</v>
      </c>
      <c r="N495" s="94">
        <v>0</v>
      </c>
      <c r="O495" s="94" t="str">
        <v/>
      </c>
      <c r="P495" s="93">
        <v>0</v>
      </c>
      <c r="Q495" s="92">
        <v>0</v>
      </c>
    </row>
    <row r="496" spans="2:17" x14ac:dyDescent="0.25">
      <c r="B496" s="92">
        <v>0</v>
      </c>
      <c r="C496" s="90">
        <v>0</v>
      </c>
      <c r="D496" s="91">
        <v>0</v>
      </c>
      <c r="E496" s="92">
        <v>0</v>
      </c>
      <c r="F496" s="92">
        <v>0</v>
      </c>
      <c r="G496" s="92">
        <v>0</v>
      </c>
      <c r="H496" s="91">
        <v>0</v>
      </c>
      <c r="I496" s="91">
        <v>0</v>
      </c>
      <c r="J496" s="93">
        <v>0</v>
      </c>
      <c r="K496" s="93">
        <v>0</v>
      </c>
      <c r="L496" s="93">
        <v>0</v>
      </c>
      <c r="M496" s="93">
        <v>0</v>
      </c>
      <c r="N496" s="94">
        <v>0</v>
      </c>
      <c r="O496" s="94" t="str">
        <v/>
      </c>
      <c r="P496" s="93">
        <v>0</v>
      </c>
      <c r="Q496" s="92">
        <v>0</v>
      </c>
    </row>
    <row r="497" spans="2:17" x14ac:dyDescent="0.25">
      <c r="B497" s="92">
        <v>0</v>
      </c>
      <c r="C497" s="90">
        <v>0</v>
      </c>
      <c r="D497" s="91">
        <v>0</v>
      </c>
      <c r="E497" s="92">
        <v>0</v>
      </c>
      <c r="F497" s="92">
        <v>0</v>
      </c>
      <c r="G497" s="92">
        <v>0</v>
      </c>
      <c r="H497" s="91">
        <v>0</v>
      </c>
      <c r="I497" s="91">
        <v>0</v>
      </c>
      <c r="J497" s="93">
        <v>0</v>
      </c>
      <c r="K497" s="93">
        <v>0</v>
      </c>
      <c r="L497" s="93">
        <v>0</v>
      </c>
      <c r="M497" s="93">
        <v>0</v>
      </c>
      <c r="N497" s="94">
        <v>0</v>
      </c>
      <c r="O497" s="94" t="str">
        <v/>
      </c>
      <c r="P497" s="93">
        <v>0</v>
      </c>
      <c r="Q497" s="92">
        <v>0</v>
      </c>
    </row>
    <row r="498" spans="2:17" x14ac:dyDescent="0.25">
      <c r="B498" s="92">
        <v>0</v>
      </c>
      <c r="C498" s="90">
        <v>0</v>
      </c>
      <c r="D498" s="91">
        <v>0</v>
      </c>
      <c r="E498" s="92">
        <v>0</v>
      </c>
      <c r="F498" s="92">
        <v>0</v>
      </c>
      <c r="G498" s="92">
        <v>0</v>
      </c>
      <c r="H498" s="91">
        <v>0</v>
      </c>
      <c r="I498" s="91">
        <v>0</v>
      </c>
      <c r="J498" s="93">
        <v>0</v>
      </c>
      <c r="K498" s="93">
        <v>0</v>
      </c>
      <c r="L498" s="93">
        <v>0</v>
      </c>
      <c r="M498" s="93">
        <v>0</v>
      </c>
      <c r="N498" s="94">
        <v>0</v>
      </c>
      <c r="O498" s="94" t="str">
        <v/>
      </c>
      <c r="P498" s="93">
        <v>0</v>
      </c>
      <c r="Q498" s="92">
        <v>0</v>
      </c>
    </row>
    <row r="499" spans="2:17" x14ac:dyDescent="0.25">
      <c r="B499" s="92">
        <v>0</v>
      </c>
      <c r="C499" s="90">
        <v>0</v>
      </c>
      <c r="D499" s="91">
        <v>0</v>
      </c>
      <c r="E499" s="92">
        <v>0</v>
      </c>
      <c r="F499" s="92">
        <v>0</v>
      </c>
      <c r="G499" s="92">
        <v>0</v>
      </c>
      <c r="H499" s="91">
        <v>0</v>
      </c>
      <c r="I499" s="91">
        <v>0</v>
      </c>
      <c r="J499" s="93">
        <v>0</v>
      </c>
      <c r="K499" s="93">
        <v>0</v>
      </c>
      <c r="L499" s="93">
        <v>0</v>
      </c>
      <c r="M499" s="93">
        <v>0</v>
      </c>
      <c r="N499" s="94">
        <v>0</v>
      </c>
      <c r="O499" s="94" t="str">
        <v/>
      </c>
      <c r="P499" s="93">
        <v>0</v>
      </c>
      <c r="Q499" s="92">
        <v>0</v>
      </c>
    </row>
    <row r="500" spans="2:17" x14ac:dyDescent="0.25">
      <c r="B500" s="92">
        <v>0</v>
      </c>
      <c r="C500" s="90">
        <v>0</v>
      </c>
      <c r="D500" s="91">
        <v>0</v>
      </c>
      <c r="E500" s="92">
        <v>0</v>
      </c>
      <c r="F500" s="92">
        <v>0</v>
      </c>
      <c r="G500" s="92">
        <v>0</v>
      </c>
      <c r="H500" s="91">
        <v>0</v>
      </c>
      <c r="I500" s="91">
        <v>0</v>
      </c>
      <c r="J500" s="93">
        <v>0</v>
      </c>
      <c r="K500" s="93">
        <v>0</v>
      </c>
      <c r="L500" s="93">
        <v>0</v>
      </c>
      <c r="M500" s="93">
        <v>0</v>
      </c>
      <c r="N500" s="94">
        <v>0</v>
      </c>
      <c r="O500" s="94" t="str">
        <v/>
      </c>
      <c r="P500" s="93">
        <v>0</v>
      </c>
      <c r="Q500" s="92">
        <v>0</v>
      </c>
    </row>
    <row r="501" spans="2:17" x14ac:dyDescent="0.25">
      <c r="B501" s="92">
        <v>0</v>
      </c>
      <c r="C501" s="90">
        <v>0</v>
      </c>
      <c r="D501" s="91">
        <v>0</v>
      </c>
      <c r="E501" s="92">
        <v>0</v>
      </c>
      <c r="F501" s="92">
        <v>0</v>
      </c>
      <c r="G501" s="92">
        <v>0</v>
      </c>
      <c r="H501" s="91">
        <v>0</v>
      </c>
      <c r="I501" s="91">
        <v>0</v>
      </c>
      <c r="J501" s="93">
        <v>0</v>
      </c>
      <c r="K501" s="93">
        <v>0</v>
      </c>
      <c r="L501" s="93">
        <v>0</v>
      </c>
      <c r="M501" s="93">
        <v>0</v>
      </c>
      <c r="N501" s="94">
        <v>0</v>
      </c>
      <c r="O501" s="94" t="str">
        <v/>
      </c>
      <c r="P501" s="93">
        <v>0</v>
      </c>
      <c r="Q501" s="92">
        <v>0</v>
      </c>
    </row>
    <row r="502" spans="2:17" x14ac:dyDescent="0.25">
      <c r="B502" s="92">
        <v>0</v>
      </c>
      <c r="C502" s="90">
        <v>0</v>
      </c>
      <c r="D502" s="91">
        <v>0</v>
      </c>
      <c r="E502" s="92">
        <v>0</v>
      </c>
      <c r="F502" s="92">
        <v>0</v>
      </c>
      <c r="G502" s="92">
        <v>0</v>
      </c>
      <c r="H502" s="91">
        <v>0</v>
      </c>
      <c r="I502" s="91">
        <v>0</v>
      </c>
      <c r="J502" s="93">
        <v>0</v>
      </c>
      <c r="K502" s="93">
        <v>0</v>
      </c>
      <c r="L502" s="93">
        <v>0</v>
      </c>
      <c r="M502" s="93">
        <v>0</v>
      </c>
      <c r="N502" s="94">
        <v>0</v>
      </c>
      <c r="O502" s="94" t="str">
        <v/>
      </c>
      <c r="P502" s="93">
        <v>0</v>
      </c>
      <c r="Q502" s="92">
        <v>0</v>
      </c>
    </row>
    <row r="503" spans="2:17" x14ac:dyDescent="0.25">
      <c r="B503" s="92">
        <v>0</v>
      </c>
      <c r="C503" s="90">
        <v>0</v>
      </c>
      <c r="D503" s="91">
        <v>0</v>
      </c>
      <c r="E503" s="92">
        <v>0</v>
      </c>
      <c r="F503" s="92">
        <v>0</v>
      </c>
      <c r="G503" s="92">
        <v>0</v>
      </c>
      <c r="H503" s="91">
        <v>0</v>
      </c>
      <c r="I503" s="91">
        <v>0</v>
      </c>
      <c r="J503" s="93">
        <v>0</v>
      </c>
      <c r="K503" s="93">
        <v>0</v>
      </c>
      <c r="L503" s="93">
        <v>0</v>
      </c>
      <c r="M503" s="93">
        <v>0</v>
      </c>
      <c r="N503" s="94">
        <v>0</v>
      </c>
      <c r="O503" s="94" t="str">
        <v/>
      </c>
      <c r="P503" s="93">
        <v>0</v>
      </c>
      <c r="Q503" s="92">
        <v>0</v>
      </c>
    </row>
    <row r="504" spans="2:17" x14ac:dyDescent="0.25">
      <c r="B504" s="92">
        <v>0</v>
      </c>
      <c r="C504" s="90">
        <v>0</v>
      </c>
      <c r="D504" s="91">
        <v>0</v>
      </c>
      <c r="E504" s="92">
        <v>0</v>
      </c>
      <c r="F504" s="92">
        <v>0</v>
      </c>
      <c r="G504" s="92">
        <v>0</v>
      </c>
      <c r="H504" s="91">
        <v>0</v>
      </c>
      <c r="I504" s="91">
        <v>0</v>
      </c>
      <c r="J504" s="93">
        <v>0</v>
      </c>
      <c r="K504" s="93">
        <v>0</v>
      </c>
      <c r="L504" s="93">
        <v>0</v>
      </c>
      <c r="M504" s="93">
        <v>0</v>
      </c>
      <c r="N504" s="94">
        <v>0</v>
      </c>
      <c r="O504" s="94" t="str">
        <v/>
      </c>
      <c r="P504" s="93">
        <v>0</v>
      </c>
      <c r="Q504" s="92">
        <v>0</v>
      </c>
    </row>
    <row r="505" spans="2:17" x14ac:dyDescent="0.25">
      <c r="B505" s="92">
        <v>0</v>
      </c>
      <c r="C505" s="90">
        <v>0</v>
      </c>
      <c r="D505" s="91">
        <v>0</v>
      </c>
      <c r="E505" s="92">
        <v>0</v>
      </c>
      <c r="F505" s="92">
        <v>0</v>
      </c>
      <c r="G505" s="92">
        <v>0</v>
      </c>
      <c r="H505" s="91">
        <v>0</v>
      </c>
      <c r="I505" s="91">
        <v>0</v>
      </c>
      <c r="J505" s="93">
        <v>0</v>
      </c>
      <c r="K505" s="93">
        <v>0</v>
      </c>
      <c r="L505" s="93">
        <v>0</v>
      </c>
      <c r="M505" s="93">
        <v>0</v>
      </c>
      <c r="N505" s="94">
        <v>0</v>
      </c>
      <c r="O505" s="94" t="str">
        <v/>
      </c>
      <c r="P505" s="93">
        <v>0</v>
      </c>
      <c r="Q505" s="92">
        <v>0</v>
      </c>
    </row>
    <row r="506" spans="2:17" x14ac:dyDescent="0.25">
      <c r="B506" s="92">
        <v>0</v>
      </c>
      <c r="C506" s="90">
        <v>0</v>
      </c>
      <c r="D506" s="91">
        <v>0</v>
      </c>
      <c r="E506" s="92">
        <v>0</v>
      </c>
      <c r="F506" s="92">
        <v>0</v>
      </c>
      <c r="G506" s="92">
        <v>0</v>
      </c>
      <c r="H506" s="91">
        <v>0</v>
      </c>
      <c r="I506" s="91">
        <v>0</v>
      </c>
      <c r="J506" s="93">
        <v>0</v>
      </c>
      <c r="K506" s="93">
        <v>0</v>
      </c>
      <c r="L506" s="93">
        <v>0</v>
      </c>
      <c r="M506" s="93">
        <v>0</v>
      </c>
      <c r="N506" s="94">
        <v>0</v>
      </c>
      <c r="O506" s="94" t="str">
        <v/>
      </c>
      <c r="P506" s="93">
        <v>0</v>
      </c>
      <c r="Q506" s="92">
        <v>0</v>
      </c>
    </row>
    <row r="507" spans="2:17" x14ac:dyDescent="0.25">
      <c r="B507" s="92">
        <v>0</v>
      </c>
      <c r="C507" s="90">
        <v>0</v>
      </c>
      <c r="D507" s="91">
        <v>0</v>
      </c>
      <c r="E507" s="92">
        <v>0</v>
      </c>
      <c r="F507" s="92">
        <v>0</v>
      </c>
      <c r="G507" s="92">
        <v>0</v>
      </c>
      <c r="H507" s="91">
        <v>0</v>
      </c>
      <c r="I507" s="91">
        <v>0</v>
      </c>
      <c r="J507" s="93">
        <v>0</v>
      </c>
      <c r="K507" s="93">
        <v>0</v>
      </c>
      <c r="L507" s="93">
        <v>0</v>
      </c>
      <c r="M507" s="93">
        <v>0</v>
      </c>
      <c r="N507" s="94">
        <v>0</v>
      </c>
      <c r="O507" s="94" t="str">
        <v/>
      </c>
      <c r="P507" s="93">
        <v>0</v>
      </c>
      <c r="Q507" s="92">
        <v>0</v>
      </c>
    </row>
    <row r="508" spans="2:17" x14ac:dyDescent="0.25">
      <c r="B508" s="92">
        <v>0</v>
      </c>
      <c r="C508" s="90">
        <v>0</v>
      </c>
      <c r="D508" s="91">
        <v>0</v>
      </c>
      <c r="E508" s="92">
        <v>0</v>
      </c>
      <c r="F508" s="92">
        <v>0</v>
      </c>
      <c r="G508" s="92">
        <v>0</v>
      </c>
      <c r="H508" s="91">
        <v>0</v>
      </c>
      <c r="I508" s="91">
        <v>0</v>
      </c>
      <c r="J508" s="93">
        <v>0</v>
      </c>
      <c r="K508" s="93">
        <v>0</v>
      </c>
      <c r="L508" s="93">
        <v>0</v>
      </c>
      <c r="M508" s="93">
        <v>0</v>
      </c>
      <c r="N508" s="94">
        <v>0</v>
      </c>
      <c r="O508" s="94" t="str">
        <v/>
      </c>
      <c r="P508" s="93">
        <v>0</v>
      </c>
      <c r="Q508" s="92">
        <v>0</v>
      </c>
    </row>
    <row r="509" spans="2:17" x14ac:dyDescent="0.25">
      <c r="B509" s="92">
        <v>0</v>
      </c>
      <c r="C509" s="90">
        <v>0</v>
      </c>
      <c r="D509" s="91">
        <v>0</v>
      </c>
      <c r="E509" s="92">
        <v>0</v>
      </c>
      <c r="F509" s="92">
        <v>0</v>
      </c>
      <c r="G509" s="92">
        <v>0</v>
      </c>
      <c r="H509" s="91">
        <v>0</v>
      </c>
      <c r="I509" s="91">
        <v>0</v>
      </c>
      <c r="J509" s="93">
        <v>0</v>
      </c>
      <c r="K509" s="93">
        <v>0</v>
      </c>
      <c r="L509" s="93">
        <v>0</v>
      </c>
      <c r="M509" s="93">
        <v>0</v>
      </c>
      <c r="N509" s="94">
        <v>0</v>
      </c>
      <c r="O509" s="94" t="str">
        <v/>
      </c>
      <c r="P509" s="93">
        <v>0</v>
      </c>
      <c r="Q509" s="92">
        <v>0</v>
      </c>
    </row>
    <row r="510" spans="2:17" x14ac:dyDescent="0.25">
      <c r="B510" s="92">
        <v>0</v>
      </c>
      <c r="C510" s="90">
        <v>0</v>
      </c>
      <c r="D510" s="91">
        <v>0</v>
      </c>
      <c r="E510" s="92">
        <v>0</v>
      </c>
      <c r="F510" s="92">
        <v>0</v>
      </c>
      <c r="G510" s="92">
        <v>0</v>
      </c>
      <c r="H510" s="91">
        <v>0</v>
      </c>
      <c r="I510" s="91">
        <v>0</v>
      </c>
      <c r="J510" s="93">
        <v>0</v>
      </c>
      <c r="K510" s="93">
        <v>0</v>
      </c>
      <c r="L510" s="93">
        <v>0</v>
      </c>
      <c r="M510" s="93">
        <v>0</v>
      </c>
      <c r="N510" s="94">
        <v>0</v>
      </c>
      <c r="O510" s="94" t="str">
        <v/>
      </c>
      <c r="P510" s="93">
        <v>0</v>
      </c>
      <c r="Q510" s="92">
        <v>0</v>
      </c>
    </row>
    <row r="511" spans="2:17" x14ac:dyDescent="0.25">
      <c r="B511" s="92">
        <v>0</v>
      </c>
      <c r="C511" s="90">
        <v>0</v>
      </c>
      <c r="D511" s="91">
        <v>0</v>
      </c>
      <c r="E511" s="92">
        <v>0</v>
      </c>
      <c r="F511" s="92">
        <v>0</v>
      </c>
      <c r="G511" s="92">
        <v>0</v>
      </c>
      <c r="H511" s="91">
        <v>0</v>
      </c>
      <c r="I511" s="91">
        <v>0</v>
      </c>
      <c r="J511" s="93">
        <v>0</v>
      </c>
      <c r="K511" s="93">
        <v>0</v>
      </c>
      <c r="L511" s="93">
        <v>0</v>
      </c>
      <c r="M511" s="93">
        <v>0</v>
      </c>
      <c r="N511" s="94">
        <v>0</v>
      </c>
      <c r="O511" s="94" t="str">
        <v/>
      </c>
      <c r="P511" s="93">
        <v>0</v>
      </c>
      <c r="Q511" s="92">
        <v>0</v>
      </c>
    </row>
    <row r="512" spans="2:17" x14ac:dyDescent="0.25">
      <c r="B512" s="92">
        <v>0</v>
      </c>
      <c r="C512" s="90">
        <v>0</v>
      </c>
      <c r="D512" s="91">
        <v>0</v>
      </c>
      <c r="E512" s="92">
        <v>0</v>
      </c>
      <c r="F512" s="92">
        <v>0</v>
      </c>
      <c r="G512" s="92">
        <v>0</v>
      </c>
      <c r="H512" s="91">
        <v>0</v>
      </c>
      <c r="I512" s="91">
        <v>0</v>
      </c>
      <c r="J512" s="93">
        <v>0</v>
      </c>
      <c r="K512" s="93">
        <v>0</v>
      </c>
      <c r="L512" s="93">
        <v>0</v>
      </c>
      <c r="M512" s="93">
        <v>0</v>
      </c>
      <c r="N512" s="94">
        <v>0</v>
      </c>
      <c r="O512" s="94" t="str">
        <v/>
      </c>
      <c r="P512" s="93">
        <v>0</v>
      </c>
      <c r="Q512" s="92">
        <v>0</v>
      </c>
    </row>
    <row r="513" spans="2:17" x14ac:dyDescent="0.25">
      <c r="B513" s="92">
        <v>0</v>
      </c>
      <c r="C513" s="90">
        <v>0</v>
      </c>
      <c r="D513" s="91">
        <v>0</v>
      </c>
      <c r="E513" s="92">
        <v>0</v>
      </c>
      <c r="F513" s="92">
        <v>0</v>
      </c>
      <c r="G513" s="92">
        <v>0</v>
      </c>
      <c r="H513" s="91">
        <v>0</v>
      </c>
      <c r="I513" s="91">
        <v>0</v>
      </c>
      <c r="J513" s="93">
        <v>0</v>
      </c>
      <c r="K513" s="93">
        <v>0</v>
      </c>
      <c r="L513" s="93">
        <v>0</v>
      </c>
      <c r="M513" s="93">
        <v>0</v>
      </c>
      <c r="N513" s="94">
        <v>0</v>
      </c>
      <c r="O513" s="94" t="str">
        <v/>
      </c>
      <c r="P513" s="93">
        <v>0</v>
      </c>
      <c r="Q513" s="92">
        <v>0</v>
      </c>
    </row>
    <row r="514" spans="2:17" x14ac:dyDescent="0.25">
      <c r="B514" s="92">
        <v>0</v>
      </c>
      <c r="C514" s="90">
        <v>0</v>
      </c>
      <c r="D514" s="91">
        <v>0</v>
      </c>
      <c r="E514" s="92">
        <v>0</v>
      </c>
      <c r="F514" s="92">
        <v>0</v>
      </c>
      <c r="G514" s="92">
        <v>0</v>
      </c>
      <c r="H514" s="91">
        <v>0</v>
      </c>
      <c r="I514" s="91">
        <v>0</v>
      </c>
      <c r="J514" s="93">
        <v>0</v>
      </c>
      <c r="K514" s="93">
        <v>0</v>
      </c>
      <c r="L514" s="93">
        <v>0</v>
      </c>
      <c r="M514" s="93">
        <v>0</v>
      </c>
      <c r="N514" s="94">
        <v>0</v>
      </c>
      <c r="O514" s="94" t="str">
        <v/>
      </c>
      <c r="P514" s="93">
        <v>0</v>
      </c>
      <c r="Q514" s="92">
        <v>0</v>
      </c>
    </row>
    <row r="515" spans="2:17" x14ac:dyDescent="0.25">
      <c r="B515" s="92">
        <v>0</v>
      </c>
      <c r="C515" s="90">
        <v>0</v>
      </c>
      <c r="D515" s="91">
        <v>0</v>
      </c>
      <c r="E515" s="92">
        <v>0</v>
      </c>
      <c r="F515" s="92">
        <v>0</v>
      </c>
      <c r="G515" s="92">
        <v>0</v>
      </c>
      <c r="H515" s="91">
        <v>0</v>
      </c>
      <c r="I515" s="91">
        <v>0</v>
      </c>
      <c r="J515" s="93">
        <v>0</v>
      </c>
      <c r="K515" s="93">
        <v>0</v>
      </c>
      <c r="L515" s="93">
        <v>0</v>
      </c>
      <c r="M515" s="93">
        <v>0</v>
      </c>
      <c r="N515" s="94">
        <v>0</v>
      </c>
      <c r="O515" s="94" t="str">
        <v/>
      </c>
      <c r="P515" s="93">
        <v>0</v>
      </c>
      <c r="Q515" s="92">
        <v>0</v>
      </c>
    </row>
    <row r="516" spans="2:17" x14ac:dyDescent="0.25">
      <c r="B516" s="92">
        <v>0</v>
      </c>
      <c r="C516" s="90">
        <v>0</v>
      </c>
      <c r="D516" s="91">
        <v>0</v>
      </c>
      <c r="E516" s="92">
        <v>0</v>
      </c>
      <c r="F516" s="92">
        <v>0</v>
      </c>
      <c r="G516" s="92">
        <v>0</v>
      </c>
      <c r="H516" s="91">
        <v>0</v>
      </c>
      <c r="I516" s="91">
        <v>0</v>
      </c>
      <c r="J516" s="93">
        <v>0</v>
      </c>
      <c r="K516" s="93">
        <v>0</v>
      </c>
      <c r="L516" s="93">
        <v>0</v>
      </c>
      <c r="M516" s="93">
        <v>0</v>
      </c>
      <c r="N516" s="94">
        <v>0</v>
      </c>
      <c r="O516" s="94" t="str">
        <v/>
      </c>
      <c r="P516" s="93">
        <v>0</v>
      </c>
      <c r="Q516" s="92">
        <v>0</v>
      </c>
    </row>
    <row r="517" spans="2:17" x14ac:dyDescent="0.25">
      <c r="B517" s="92">
        <v>0</v>
      </c>
      <c r="C517" s="90">
        <v>0</v>
      </c>
      <c r="D517" s="91">
        <v>0</v>
      </c>
      <c r="E517" s="92">
        <v>0</v>
      </c>
      <c r="F517" s="92">
        <v>0</v>
      </c>
      <c r="G517" s="92">
        <v>0</v>
      </c>
      <c r="H517" s="91">
        <v>0</v>
      </c>
      <c r="I517" s="91">
        <v>0</v>
      </c>
      <c r="J517" s="93">
        <v>0</v>
      </c>
      <c r="K517" s="93">
        <v>0</v>
      </c>
      <c r="L517" s="93">
        <v>0</v>
      </c>
      <c r="M517" s="93">
        <v>0</v>
      </c>
      <c r="N517" s="94">
        <v>0</v>
      </c>
      <c r="O517" s="94" t="str">
        <v/>
      </c>
      <c r="P517" s="93">
        <v>0</v>
      </c>
      <c r="Q517" s="92">
        <v>0</v>
      </c>
    </row>
    <row r="518" spans="2:17" x14ac:dyDescent="0.25">
      <c r="B518" s="92">
        <v>0</v>
      </c>
      <c r="C518" s="90">
        <v>0</v>
      </c>
      <c r="D518" s="91">
        <v>0</v>
      </c>
      <c r="E518" s="92">
        <v>0</v>
      </c>
      <c r="F518" s="92">
        <v>0</v>
      </c>
      <c r="G518" s="92">
        <v>0</v>
      </c>
      <c r="H518" s="91">
        <v>0</v>
      </c>
      <c r="I518" s="91">
        <v>0</v>
      </c>
      <c r="J518" s="93">
        <v>0</v>
      </c>
      <c r="K518" s="93">
        <v>0</v>
      </c>
      <c r="L518" s="93">
        <v>0</v>
      </c>
      <c r="M518" s="93">
        <v>0</v>
      </c>
      <c r="N518" s="94">
        <v>0</v>
      </c>
      <c r="O518" s="94" t="str">
        <v/>
      </c>
      <c r="P518" s="93">
        <v>0</v>
      </c>
      <c r="Q518" s="92">
        <v>0</v>
      </c>
    </row>
    <row r="519" spans="2:17" x14ac:dyDescent="0.25">
      <c r="B519" s="92">
        <v>0</v>
      </c>
      <c r="C519" s="90">
        <v>0</v>
      </c>
      <c r="D519" s="91">
        <v>0</v>
      </c>
      <c r="E519" s="92">
        <v>0</v>
      </c>
      <c r="F519" s="92">
        <v>0</v>
      </c>
      <c r="G519" s="92">
        <v>0</v>
      </c>
      <c r="H519" s="91">
        <v>0</v>
      </c>
      <c r="I519" s="91">
        <v>0</v>
      </c>
      <c r="J519" s="93">
        <v>0</v>
      </c>
      <c r="K519" s="93">
        <v>0</v>
      </c>
      <c r="L519" s="93">
        <v>0</v>
      </c>
      <c r="M519" s="93">
        <v>0</v>
      </c>
      <c r="N519" s="94">
        <v>0</v>
      </c>
      <c r="O519" s="94" t="str">
        <v/>
      </c>
      <c r="P519" s="93">
        <v>0</v>
      </c>
      <c r="Q519" s="92">
        <v>0</v>
      </c>
    </row>
    <row r="520" spans="2:17" x14ac:dyDescent="0.25">
      <c r="B520" s="92">
        <v>0</v>
      </c>
      <c r="C520" s="90">
        <v>0</v>
      </c>
      <c r="D520" s="91">
        <v>0</v>
      </c>
      <c r="E520" s="92">
        <v>0</v>
      </c>
      <c r="F520" s="92">
        <v>0</v>
      </c>
      <c r="G520" s="92">
        <v>0</v>
      </c>
      <c r="H520" s="91">
        <v>0</v>
      </c>
      <c r="I520" s="91">
        <v>0</v>
      </c>
      <c r="J520" s="93">
        <v>0</v>
      </c>
      <c r="K520" s="93">
        <v>0</v>
      </c>
      <c r="L520" s="93">
        <v>0</v>
      </c>
      <c r="M520" s="93">
        <v>0</v>
      </c>
      <c r="N520" s="94">
        <v>0</v>
      </c>
      <c r="O520" s="94" t="str">
        <v/>
      </c>
      <c r="P520" s="93">
        <v>0</v>
      </c>
      <c r="Q520" s="92">
        <v>0</v>
      </c>
    </row>
    <row r="521" spans="2:17" x14ac:dyDescent="0.25">
      <c r="B521" s="92">
        <v>0</v>
      </c>
      <c r="C521" s="90">
        <v>0</v>
      </c>
      <c r="D521" s="91">
        <v>0</v>
      </c>
      <c r="E521" s="92">
        <v>0</v>
      </c>
      <c r="F521" s="92">
        <v>0</v>
      </c>
      <c r="G521" s="92">
        <v>0</v>
      </c>
      <c r="H521" s="91">
        <v>0</v>
      </c>
      <c r="I521" s="91">
        <v>0</v>
      </c>
      <c r="J521" s="93">
        <v>0</v>
      </c>
      <c r="K521" s="93">
        <v>0</v>
      </c>
      <c r="L521" s="93">
        <v>0</v>
      </c>
      <c r="M521" s="93">
        <v>0</v>
      </c>
      <c r="N521" s="94">
        <v>0</v>
      </c>
      <c r="O521" s="94" t="str">
        <v/>
      </c>
      <c r="P521" s="93">
        <v>0</v>
      </c>
      <c r="Q521" s="92">
        <v>0</v>
      </c>
    </row>
    <row r="522" spans="2:17" x14ac:dyDescent="0.25">
      <c r="B522" s="92">
        <v>0</v>
      </c>
      <c r="C522" s="90">
        <v>0</v>
      </c>
      <c r="D522" s="91">
        <v>0</v>
      </c>
      <c r="E522" s="92">
        <v>0</v>
      </c>
      <c r="F522" s="92">
        <v>0</v>
      </c>
      <c r="G522" s="92">
        <v>0</v>
      </c>
      <c r="H522" s="91">
        <v>0</v>
      </c>
      <c r="I522" s="91">
        <v>0</v>
      </c>
      <c r="J522" s="93">
        <v>0</v>
      </c>
      <c r="K522" s="93">
        <v>0</v>
      </c>
      <c r="L522" s="93">
        <v>0</v>
      </c>
      <c r="M522" s="93">
        <v>0</v>
      </c>
      <c r="N522" s="94">
        <v>0</v>
      </c>
      <c r="O522" s="94" t="str">
        <v/>
      </c>
      <c r="P522" s="93">
        <v>0</v>
      </c>
      <c r="Q522" s="92">
        <v>0</v>
      </c>
    </row>
    <row r="523" spans="2:17" x14ac:dyDescent="0.25">
      <c r="B523" s="92">
        <v>0</v>
      </c>
      <c r="C523" s="90">
        <v>0</v>
      </c>
      <c r="D523" s="91">
        <v>0</v>
      </c>
      <c r="E523" s="92">
        <v>0</v>
      </c>
      <c r="F523" s="92">
        <v>0</v>
      </c>
      <c r="G523" s="92">
        <v>0</v>
      </c>
      <c r="H523" s="91">
        <v>0</v>
      </c>
      <c r="I523" s="91">
        <v>0</v>
      </c>
      <c r="J523" s="93">
        <v>0</v>
      </c>
      <c r="K523" s="93">
        <v>0</v>
      </c>
      <c r="L523" s="93">
        <v>0</v>
      </c>
      <c r="M523" s="93">
        <v>0</v>
      </c>
      <c r="N523" s="94">
        <v>0</v>
      </c>
      <c r="O523" s="94" t="str">
        <v/>
      </c>
      <c r="P523" s="93">
        <v>0</v>
      </c>
      <c r="Q523" s="92">
        <v>0</v>
      </c>
    </row>
    <row r="524" spans="2:17" x14ac:dyDescent="0.25">
      <c r="B524" s="92">
        <v>0</v>
      </c>
      <c r="C524" s="90">
        <v>0</v>
      </c>
      <c r="D524" s="91">
        <v>0</v>
      </c>
      <c r="E524" s="92">
        <v>0</v>
      </c>
      <c r="F524" s="92">
        <v>0</v>
      </c>
      <c r="G524" s="92">
        <v>0</v>
      </c>
      <c r="H524" s="91">
        <v>0</v>
      </c>
      <c r="I524" s="91">
        <v>0</v>
      </c>
      <c r="J524" s="93">
        <v>0</v>
      </c>
      <c r="K524" s="93">
        <v>0</v>
      </c>
      <c r="L524" s="93">
        <v>0</v>
      </c>
      <c r="M524" s="93">
        <v>0</v>
      </c>
      <c r="N524" s="94">
        <v>0</v>
      </c>
      <c r="O524" s="94" t="str">
        <v/>
      </c>
      <c r="P524" s="93">
        <v>0</v>
      </c>
      <c r="Q524" s="92">
        <v>0</v>
      </c>
    </row>
    <row r="525" spans="2:17" x14ac:dyDescent="0.25">
      <c r="B525" s="92">
        <v>0</v>
      </c>
      <c r="C525" s="90">
        <v>0</v>
      </c>
      <c r="D525" s="91">
        <v>0</v>
      </c>
      <c r="E525" s="92">
        <v>0</v>
      </c>
      <c r="F525" s="92">
        <v>0</v>
      </c>
      <c r="G525" s="92">
        <v>0</v>
      </c>
      <c r="H525" s="91">
        <v>0</v>
      </c>
      <c r="I525" s="91">
        <v>0</v>
      </c>
      <c r="J525" s="93">
        <v>0</v>
      </c>
      <c r="K525" s="93">
        <v>0</v>
      </c>
      <c r="L525" s="93">
        <v>0</v>
      </c>
      <c r="M525" s="93">
        <v>0</v>
      </c>
      <c r="N525" s="94">
        <v>0</v>
      </c>
      <c r="O525" s="94" t="str">
        <v/>
      </c>
      <c r="P525" s="93">
        <v>0</v>
      </c>
      <c r="Q525" s="92">
        <v>0</v>
      </c>
    </row>
    <row r="526" spans="2:17" x14ac:dyDescent="0.25">
      <c r="B526" s="92">
        <v>0</v>
      </c>
      <c r="C526" s="90">
        <v>0</v>
      </c>
      <c r="D526" s="91">
        <v>0</v>
      </c>
      <c r="E526" s="92">
        <v>0</v>
      </c>
      <c r="F526" s="92">
        <v>0</v>
      </c>
      <c r="G526" s="92">
        <v>0</v>
      </c>
      <c r="H526" s="91">
        <v>0</v>
      </c>
      <c r="I526" s="91">
        <v>0</v>
      </c>
      <c r="J526" s="93">
        <v>0</v>
      </c>
      <c r="K526" s="93">
        <v>0</v>
      </c>
      <c r="L526" s="93">
        <v>0</v>
      </c>
      <c r="M526" s="93">
        <v>0</v>
      </c>
      <c r="N526" s="94">
        <v>0</v>
      </c>
      <c r="O526" s="94" t="str">
        <v/>
      </c>
      <c r="P526" s="93">
        <v>0</v>
      </c>
      <c r="Q526" s="92">
        <v>0</v>
      </c>
    </row>
    <row r="527" spans="2:17" x14ac:dyDescent="0.25">
      <c r="B527" s="92">
        <v>0</v>
      </c>
      <c r="C527" s="90">
        <v>0</v>
      </c>
      <c r="D527" s="91">
        <v>0</v>
      </c>
      <c r="E527" s="92">
        <v>0</v>
      </c>
      <c r="F527" s="92">
        <v>0</v>
      </c>
      <c r="G527" s="92">
        <v>0</v>
      </c>
      <c r="H527" s="91">
        <v>0</v>
      </c>
      <c r="I527" s="91">
        <v>0</v>
      </c>
      <c r="J527" s="93">
        <v>0</v>
      </c>
      <c r="K527" s="93">
        <v>0</v>
      </c>
      <c r="L527" s="93">
        <v>0</v>
      </c>
      <c r="M527" s="93">
        <v>0</v>
      </c>
      <c r="N527" s="94">
        <v>0</v>
      </c>
      <c r="O527" s="94" t="str">
        <v/>
      </c>
      <c r="P527" s="93">
        <v>0</v>
      </c>
      <c r="Q527" s="92">
        <v>0</v>
      </c>
    </row>
    <row r="528" spans="2:17" x14ac:dyDescent="0.25">
      <c r="B528" s="92">
        <v>0</v>
      </c>
      <c r="C528" s="90">
        <v>0</v>
      </c>
      <c r="D528" s="91">
        <v>0</v>
      </c>
      <c r="E528" s="92">
        <v>0</v>
      </c>
      <c r="F528" s="92">
        <v>0</v>
      </c>
      <c r="G528" s="92">
        <v>0</v>
      </c>
      <c r="H528" s="91">
        <v>0</v>
      </c>
      <c r="I528" s="91">
        <v>0</v>
      </c>
      <c r="J528" s="93">
        <v>0</v>
      </c>
      <c r="K528" s="93">
        <v>0</v>
      </c>
      <c r="L528" s="93">
        <v>0</v>
      </c>
      <c r="M528" s="93">
        <v>0</v>
      </c>
      <c r="N528" s="94">
        <v>0</v>
      </c>
      <c r="O528" s="94" t="str">
        <v/>
      </c>
      <c r="P528" s="93">
        <v>0</v>
      </c>
      <c r="Q528" s="92">
        <v>0</v>
      </c>
    </row>
    <row r="529" spans="2:17" x14ac:dyDescent="0.25">
      <c r="B529" s="92">
        <v>0</v>
      </c>
      <c r="C529" s="90">
        <v>0</v>
      </c>
      <c r="D529" s="91">
        <v>0</v>
      </c>
      <c r="E529" s="92">
        <v>0</v>
      </c>
      <c r="F529" s="92">
        <v>0</v>
      </c>
      <c r="G529" s="92">
        <v>0</v>
      </c>
      <c r="H529" s="91">
        <v>0</v>
      </c>
      <c r="I529" s="91">
        <v>0</v>
      </c>
      <c r="J529" s="93">
        <v>0</v>
      </c>
      <c r="K529" s="93">
        <v>0</v>
      </c>
      <c r="L529" s="93">
        <v>0</v>
      </c>
      <c r="M529" s="93">
        <v>0</v>
      </c>
      <c r="N529" s="94">
        <v>0</v>
      </c>
      <c r="O529" s="94" t="str">
        <v/>
      </c>
      <c r="P529" s="93">
        <v>0</v>
      </c>
      <c r="Q529" s="92">
        <v>0</v>
      </c>
    </row>
    <row r="530" spans="2:17" x14ac:dyDescent="0.25">
      <c r="B530" s="92">
        <v>0</v>
      </c>
      <c r="C530" s="90">
        <v>0</v>
      </c>
      <c r="D530" s="91">
        <v>0</v>
      </c>
      <c r="E530" s="92">
        <v>0</v>
      </c>
      <c r="F530" s="92">
        <v>0</v>
      </c>
      <c r="G530" s="92">
        <v>0</v>
      </c>
      <c r="H530" s="91">
        <v>0</v>
      </c>
      <c r="I530" s="91">
        <v>0</v>
      </c>
      <c r="J530" s="93">
        <v>0</v>
      </c>
      <c r="K530" s="93">
        <v>0</v>
      </c>
      <c r="L530" s="93">
        <v>0</v>
      </c>
      <c r="M530" s="93">
        <v>0</v>
      </c>
      <c r="N530" s="94">
        <v>0</v>
      </c>
      <c r="O530" s="94" t="str">
        <v/>
      </c>
      <c r="P530" s="93">
        <v>0</v>
      </c>
      <c r="Q530" s="92">
        <v>0</v>
      </c>
    </row>
    <row r="531" spans="2:17" x14ac:dyDescent="0.25">
      <c r="B531" s="92">
        <v>0</v>
      </c>
      <c r="C531" s="90">
        <v>0</v>
      </c>
      <c r="D531" s="91">
        <v>0</v>
      </c>
      <c r="E531" s="92">
        <v>0</v>
      </c>
      <c r="F531" s="92">
        <v>0</v>
      </c>
      <c r="G531" s="92">
        <v>0</v>
      </c>
      <c r="H531" s="91">
        <v>0</v>
      </c>
      <c r="I531" s="91">
        <v>0</v>
      </c>
      <c r="J531" s="93">
        <v>0</v>
      </c>
      <c r="K531" s="93">
        <v>0</v>
      </c>
      <c r="L531" s="93">
        <v>0</v>
      </c>
      <c r="M531" s="93">
        <v>0</v>
      </c>
      <c r="N531" s="94">
        <v>0</v>
      </c>
      <c r="O531" s="94" t="str">
        <v/>
      </c>
      <c r="P531" s="93">
        <v>0</v>
      </c>
      <c r="Q531" s="92">
        <v>0</v>
      </c>
    </row>
    <row r="532" spans="2:17" x14ac:dyDescent="0.25">
      <c r="B532" s="92">
        <v>0</v>
      </c>
      <c r="C532" s="90">
        <v>0</v>
      </c>
      <c r="D532" s="91">
        <v>0</v>
      </c>
      <c r="E532" s="92">
        <v>0</v>
      </c>
      <c r="F532" s="92">
        <v>0</v>
      </c>
      <c r="G532" s="92">
        <v>0</v>
      </c>
      <c r="H532" s="91">
        <v>0</v>
      </c>
      <c r="I532" s="91">
        <v>0</v>
      </c>
      <c r="J532" s="93">
        <v>0</v>
      </c>
      <c r="K532" s="93">
        <v>0</v>
      </c>
      <c r="L532" s="93">
        <v>0</v>
      </c>
      <c r="M532" s="93">
        <v>0</v>
      </c>
      <c r="N532" s="94">
        <v>0</v>
      </c>
      <c r="O532" s="94" t="str">
        <v/>
      </c>
      <c r="P532" s="93">
        <v>0</v>
      </c>
      <c r="Q532" s="92">
        <v>0</v>
      </c>
    </row>
    <row r="533" spans="2:17" x14ac:dyDescent="0.25">
      <c r="B533" s="92">
        <v>0</v>
      </c>
      <c r="C533" s="90">
        <v>0</v>
      </c>
      <c r="D533" s="91">
        <v>0</v>
      </c>
      <c r="E533" s="92">
        <v>0</v>
      </c>
      <c r="F533" s="92">
        <v>0</v>
      </c>
      <c r="G533" s="92">
        <v>0</v>
      </c>
      <c r="H533" s="91">
        <v>0</v>
      </c>
      <c r="I533" s="91">
        <v>0</v>
      </c>
      <c r="J533" s="93">
        <v>0</v>
      </c>
      <c r="K533" s="93">
        <v>0</v>
      </c>
      <c r="L533" s="93">
        <v>0</v>
      </c>
      <c r="M533" s="93">
        <v>0</v>
      </c>
      <c r="N533" s="94">
        <v>0</v>
      </c>
      <c r="O533" s="94" t="str">
        <v/>
      </c>
      <c r="P533" s="93">
        <v>0</v>
      </c>
      <c r="Q533" s="92">
        <v>0</v>
      </c>
    </row>
    <row r="534" spans="2:17" x14ac:dyDescent="0.25">
      <c r="B534" s="92">
        <v>0</v>
      </c>
      <c r="C534" s="90">
        <v>0</v>
      </c>
      <c r="D534" s="91">
        <v>0</v>
      </c>
      <c r="E534" s="92">
        <v>0</v>
      </c>
      <c r="F534" s="92">
        <v>0</v>
      </c>
      <c r="G534" s="92">
        <v>0</v>
      </c>
      <c r="H534" s="91">
        <v>0</v>
      </c>
      <c r="I534" s="91">
        <v>0</v>
      </c>
      <c r="J534" s="93">
        <v>0</v>
      </c>
      <c r="K534" s="93">
        <v>0</v>
      </c>
      <c r="L534" s="93">
        <v>0</v>
      </c>
      <c r="M534" s="93">
        <v>0</v>
      </c>
      <c r="N534" s="94">
        <v>0</v>
      </c>
      <c r="O534" s="94" t="str">
        <v/>
      </c>
      <c r="P534" s="93">
        <v>0</v>
      </c>
      <c r="Q534" s="92">
        <v>0</v>
      </c>
    </row>
    <row r="535" spans="2:17" x14ac:dyDescent="0.25">
      <c r="B535" s="92">
        <v>0</v>
      </c>
      <c r="C535" s="90">
        <v>0</v>
      </c>
      <c r="D535" s="91">
        <v>0</v>
      </c>
      <c r="E535" s="92">
        <v>0</v>
      </c>
      <c r="F535" s="92">
        <v>0</v>
      </c>
      <c r="G535" s="92">
        <v>0</v>
      </c>
      <c r="H535" s="91">
        <v>0</v>
      </c>
      <c r="I535" s="91">
        <v>0</v>
      </c>
      <c r="J535" s="93">
        <v>0</v>
      </c>
      <c r="K535" s="93">
        <v>0</v>
      </c>
      <c r="L535" s="93">
        <v>0</v>
      </c>
      <c r="M535" s="93">
        <v>0</v>
      </c>
      <c r="N535" s="94">
        <v>0</v>
      </c>
      <c r="O535" s="94" t="str">
        <v/>
      </c>
      <c r="P535" s="93">
        <v>0</v>
      </c>
      <c r="Q535" s="92">
        <v>0</v>
      </c>
    </row>
    <row r="536" spans="2:17" x14ac:dyDescent="0.25">
      <c r="B536" s="92">
        <v>0</v>
      </c>
      <c r="C536" s="90">
        <v>0</v>
      </c>
      <c r="D536" s="91">
        <v>0</v>
      </c>
      <c r="E536" s="92">
        <v>0</v>
      </c>
      <c r="F536" s="92">
        <v>0</v>
      </c>
      <c r="G536" s="92">
        <v>0</v>
      </c>
      <c r="H536" s="91">
        <v>0</v>
      </c>
      <c r="I536" s="91">
        <v>0</v>
      </c>
      <c r="J536" s="93">
        <v>0</v>
      </c>
      <c r="K536" s="93">
        <v>0</v>
      </c>
      <c r="L536" s="93">
        <v>0</v>
      </c>
      <c r="M536" s="93">
        <v>0</v>
      </c>
      <c r="N536" s="94">
        <v>0</v>
      </c>
      <c r="O536" s="94" t="str">
        <v/>
      </c>
      <c r="P536" s="93">
        <v>0</v>
      </c>
      <c r="Q536" s="92">
        <v>0</v>
      </c>
    </row>
    <row r="537" spans="2:17" x14ac:dyDescent="0.25">
      <c r="B537" s="92">
        <v>0</v>
      </c>
      <c r="C537" s="90">
        <v>0</v>
      </c>
      <c r="D537" s="91">
        <v>0</v>
      </c>
      <c r="E537" s="92">
        <v>0</v>
      </c>
      <c r="F537" s="92">
        <v>0</v>
      </c>
      <c r="G537" s="92">
        <v>0</v>
      </c>
      <c r="H537" s="91">
        <v>0</v>
      </c>
      <c r="I537" s="91">
        <v>0</v>
      </c>
      <c r="J537" s="93">
        <v>0</v>
      </c>
      <c r="K537" s="93">
        <v>0</v>
      </c>
      <c r="L537" s="93">
        <v>0</v>
      </c>
      <c r="M537" s="93">
        <v>0</v>
      </c>
      <c r="N537" s="94">
        <v>0</v>
      </c>
      <c r="O537" s="94" t="str">
        <v/>
      </c>
      <c r="P537" s="93">
        <v>0</v>
      </c>
      <c r="Q537" s="92">
        <v>0</v>
      </c>
    </row>
    <row r="538" spans="2:17" x14ac:dyDescent="0.25">
      <c r="B538" s="92">
        <v>0</v>
      </c>
      <c r="C538" s="90">
        <v>0</v>
      </c>
      <c r="D538" s="91">
        <v>0</v>
      </c>
      <c r="E538" s="92">
        <v>0</v>
      </c>
      <c r="F538" s="92">
        <v>0</v>
      </c>
      <c r="G538" s="92">
        <v>0</v>
      </c>
      <c r="H538" s="91">
        <v>0</v>
      </c>
      <c r="I538" s="91">
        <v>0</v>
      </c>
      <c r="J538" s="93">
        <v>0</v>
      </c>
      <c r="K538" s="93">
        <v>0</v>
      </c>
      <c r="L538" s="93">
        <v>0</v>
      </c>
      <c r="M538" s="93">
        <v>0</v>
      </c>
      <c r="N538" s="94">
        <v>0</v>
      </c>
      <c r="O538" s="94" t="str">
        <v/>
      </c>
      <c r="P538" s="93">
        <v>0</v>
      </c>
      <c r="Q538" s="92">
        <v>0</v>
      </c>
    </row>
    <row r="539" spans="2:17" x14ac:dyDescent="0.25">
      <c r="B539" s="92">
        <v>0</v>
      </c>
      <c r="C539" s="90">
        <v>0</v>
      </c>
      <c r="D539" s="91">
        <v>0</v>
      </c>
      <c r="E539" s="92">
        <v>0</v>
      </c>
      <c r="F539" s="92">
        <v>0</v>
      </c>
      <c r="G539" s="92">
        <v>0</v>
      </c>
      <c r="H539" s="91">
        <v>0</v>
      </c>
      <c r="I539" s="91">
        <v>0</v>
      </c>
      <c r="J539" s="93">
        <v>0</v>
      </c>
      <c r="K539" s="93">
        <v>0</v>
      </c>
      <c r="L539" s="93">
        <v>0</v>
      </c>
      <c r="M539" s="93">
        <v>0</v>
      </c>
      <c r="N539" s="94">
        <v>0</v>
      </c>
      <c r="O539" s="94" t="str">
        <v/>
      </c>
      <c r="P539" s="93">
        <v>0</v>
      </c>
      <c r="Q539" s="92">
        <v>0</v>
      </c>
    </row>
    <row r="540" spans="2:17" x14ac:dyDescent="0.25">
      <c r="B540" s="92">
        <v>0</v>
      </c>
      <c r="C540" s="90">
        <v>0</v>
      </c>
      <c r="D540" s="91">
        <v>0</v>
      </c>
      <c r="E540" s="92">
        <v>0</v>
      </c>
      <c r="F540" s="92">
        <v>0</v>
      </c>
      <c r="G540" s="92">
        <v>0</v>
      </c>
      <c r="H540" s="91">
        <v>0</v>
      </c>
      <c r="I540" s="91">
        <v>0</v>
      </c>
      <c r="J540" s="93">
        <v>0</v>
      </c>
      <c r="K540" s="93">
        <v>0</v>
      </c>
      <c r="L540" s="93">
        <v>0</v>
      </c>
      <c r="M540" s="93">
        <v>0</v>
      </c>
      <c r="N540" s="94">
        <v>0</v>
      </c>
      <c r="O540" s="94" t="str">
        <v/>
      </c>
      <c r="P540" s="93">
        <v>0</v>
      </c>
      <c r="Q540" s="92">
        <v>0</v>
      </c>
    </row>
    <row r="541" spans="2:17" x14ac:dyDescent="0.25">
      <c r="B541" s="92">
        <v>0</v>
      </c>
      <c r="C541" s="90">
        <v>0</v>
      </c>
      <c r="D541" s="91">
        <v>0</v>
      </c>
      <c r="E541" s="92">
        <v>0</v>
      </c>
      <c r="F541" s="92">
        <v>0</v>
      </c>
      <c r="G541" s="92">
        <v>0</v>
      </c>
      <c r="H541" s="91">
        <v>0</v>
      </c>
      <c r="I541" s="91">
        <v>0</v>
      </c>
      <c r="J541" s="93">
        <v>0</v>
      </c>
      <c r="K541" s="93">
        <v>0</v>
      </c>
      <c r="L541" s="93">
        <v>0</v>
      </c>
      <c r="M541" s="93">
        <v>0</v>
      </c>
      <c r="N541" s="94">
        <v>0</v>
      </c>
      <c r="O541" s="94" t="str">
        <v/>
      </c>
      <c r="P541" s="93">
        <v>0</v>
      </c>
      <c r="Q541" s="92">
        <v>0</v>
      </c>
    </row>
    <row r="542" spans="2:17" x14ac:dyDescent="0.25">
      <c r="B542" s="92">
        <v>0</v>
      </c>
      <c r="C542" s="90">
        <v>0</v>
      </c>
      <c r="D542" s="91">
        <v>0</v>
      </c>
      <c r="E542" s="92">
        <v>0</v>
      </c>
      <c r="F542" s="92">
        <v>0</v>
      </c>
      <c r="G542" s="92">
        <v>0</v>
      </c>
      <c r="H542" s="91">
        <v>0</v>
      </c>
      <c r="I542" s="91">
        <v>0</v>
      </c>
      <c r="J542" s="93">
        <v>0</v>
      </c>
      <c r="K542" s="93">
        <v>0</v>
      </c>
      <c r="L542" s="93">
        <v>0</v>
      </c>
      <c r="M542" s="93">
        <v>0</v>
      </c>
      <c r="N542" s="94">
        <v>0</v>
      </c>
      <c r="O542" s="94" t="str">
        <v/>
      </c>
      <c r="P542" s="93">
        <v>0</v>
      </c>
      <c r="Q542" s="92">
        <v>0</v>
      </c>
    </row>
    <row r="543" spans="2:17" x14ac:dyDescent="0.25">
      <c r="B543" s="92">
        <v>0</v>
      </c>
      <c r="C543" s="90">
        <v>0</v>
      </c>
      <c r="D543" s="91">
        <v>0</v>
      </c>
      <c r="E543" s="92">
        <v>0</v>
      </c>
      <c r="F543" s="92">
        <v>0</v>
      </c>
      <c r="G543" s="92">
        <v>0</v>
      </c>
      <c r="H543" s="91">
        <v>0</v>
      </c>
      <c r="I543" s="91">
        <v>0</v>
      </c>
      <c r="J543" s="93">
        <v>0</v>
      </c>
      <c r="K543" s="93">
        <v>0</v>
      </c>
      <c r="L543" s="93">
        <v>0</v>
      </c>
      <c r="M543" s="93">
        <v>0</v>
      </c>
      <c r="N543" s="94">
        <v>0</v>
      </c>
      <c r="O543" s="94" t="str">
        <v/>
      </c>
      <c r="P543" s="93">
        <v>0</v>
      </c>
      <c r="Q543" s="92">
        <v>0</v>
      </c>
    </row>
    <row r="544" spans="2:17" x14ac:dyDescent="0.25">
      <c r="B544" s="92">
        <v>0</v>
      </c>
      <c r="C544" s="90">
        <v>0</v>
      </c>
      <c r="D544" s="91">
        <v>0</v>
      </c>
      <c r="E544" s="92">
        <v>0</v>
      </c>
      <c r="F544" s="92">
        <v>0</v>
      </c>
      <c r="G544" s="92">
        <v>0</v>
      </c>
      <c r="H544" s="91">
        <v>0</v>
      </c>
      <c r="I544" s="91">
        <v>0</v>
      </c>
      <c r="J544" s="93">
        <v>0</v>
      </c>
      <c r="K544" s="93">
        <v>0</v>
      </c>
      <c r="L544" s="93">
        <v>0</v>
      </c>
      <c r="M544" s="93">
        <v>0</v>
      </c>
      <c r="N544" s="94">
        <v>0</v>
      </c>
      <c r="O544" s="94" t="str">
        <v/>
      </c>
      <c r="P544" s="93">
        <v>0</v>
      </c>
      <c r="Q544" s="92">
        <v>0</v>
      </c>
    </row>
    <row r="545" spans="2:17" x14ac:dyDescent="0.25">
      <c r="B545" s="92">
        <v>0</v>
      </c>
      <c r="C545" s="90">
        <v>0</v>
      </c>
      <c r="D545" s="91">
        <v>0</v>
      </c>
      <c r="E545" s="92">
        <v>0</v>
      </c>
      <c r="F545" s="92">
        <v>0</v>
      </c>
      <c r="G545" s="92">
        <v>0</v>
      </c>
      <c r="H545" s="91">
        <v>0</v>
      </c>
      <c r="I545" s="91">
        <v>0</v>
      </c>
      <c r="J545" s="93">
        <v>0</v>
      </c>
      <c r="K545" s="93">
        <v>0</v>
      </c>
      <c r="L545" s="93">
        <v>0</v>
      </c>
      <c r="M545" s="93">
        <v>0</v>
      </c>
      <c r="N545" s="94">
        <v>0</v>
      </c>
      <c r="O545" s="94" t="str">
        <v/>
      </c>
      <c r="P545" s="93">
        <v>0</v>
      </c>
      <c r="Q545" s="92">
        <v>0</v>
      </c>
    </row>
    <row r="546" spans="2:17" x14ac:dyDescent="0.25">
      <c r="B546" s="92">
        <v>0</v>
      </c>
      <c r="C546" s="90">
        <v>0</v>
      </c>
      <c r="D546" s="91">
        <v>0</v>
      </c>
      <c r="E546" s="92">
        <v>0</v>
      </c>
      <c r="F546" s="92">
        <v>0</v>
      </c>
      <c r="G546" s="92">
        <v>0</v>
      </c>
      <c r="H546" s="91">
        <v>0</v>
      </c>
      <c r="I546" s="91">
        <v>0</v>
      </c>
      <c r="J546" s="93">
        <v>0</v>
      </c>
      <c r="K546" s="93">
        <v>0</v>
      </c>
      <c r="L546" s="93">
        <v>0</v>
      </c>
      <c r="M546" s="93">
        <v>0</v>
      </c>
      <c r="N546" s="94">
        <v>0</v>
      </c>
      <c r="O546" s="94" t="str">
        <v/>
      </c>
      <c r="P546" s="93">
        <v>0</v>
      </c>
      <c r="Q546" s="92">
        <v>0</v>
      </c>
    </row>
    <row r="547" spans="2:17" x14ac:dyDescent="0.25">
      <c r="B547" s="92">
        <v>0</v>
      </c>
      <c r="C547" s="90">
        <v>0</v>
      </c>
      <c r="D547" s="91">
        <v>0</v>
      </c>
      <c r="E547" s="92">
        <v>0</v>
      </c>
      <c r="F547" s="92">
        <v>0</v>
      </c>
      <c r="G547" s="92">
        <v>0</v>
      </c>
      <c r="H547" s="91">
        <v>0</v>
      </c>
      <c r="I547" s="91">
        <v>0</v>
      </c>
      <c r="J547" s="93">
        <v>0</v>
      </c>
      <c r="K547" s="93">
        <v>0</v>
      </c>
      <c r="L547" s="93">
        <v>0</v>
      </c>
      <c r="M547" s="93">
        <v>0</v>
      </c>
      <c r="N547" s="94">
        <v>0</v>
      </c>
      <c r="O547" s="94" t="str">
        <v/>
      </c>
      <c r="P547" s="93">
        <v>0</v>
      </c>
      <c r="Q547" s="92">
        <v>0</v>
      </c>
    </row>
    <row r="548" spans="2:17" x14ac:dyDescent="0.25">
      <c r="B548" s="92">
        <v>0</v>
      </c>
      <c r="C548" s="90">
        <v>0</v>
      </c>
      <c r="D548" s="91">
        <v>0</v>
      </c>
      <c r="E548" s="92">
        <v>0</v>
      </c>
      <c r="F548" s="92">
        <v>0</v>
      </c>
      <c r="G548" s="92">
        <v>0</v>
      </c>
      <c r="H548" s="91">
        <v>0</v>
      </c>
      <c r="I548" s="91">
        <v>0</v>
      </c>
      <c r="J548" s="93">
        <v>0</v>
      </c>
      <c r="K548" s="93">
        <v>0</v>
      </c>
      <c r="L548" s="93">
        <v>0</v>
      </c>
      <c r="M548" s="93">
        <v>0</v>
      </c>
      <c r="N548" s="94">
        <v>0</v>
      </c>
      <c r="O548" s="94" t="str">
        <v/>
      </c>
      <c r="P548" s="93">
        <v>0</v>
      </c>
      <c r="Q548" s="92">
        <v>0</v>
      </c>
    </row>
    <row r="549" spans="2:17" x14ac:dyDescent="0.25">
      <c r="B549" s="92">
        <v>0</v>
      </c>
      <c r="C549" s="90">
        <v>0</v>
      </c>
      <c r="D549" s="91">
        <v>0</v>
      </c>
      <c r="E549" s="92">
        <v>0</v>
      </c>
      <c r="F549" s="92">
        <v>0</v>
      </c>
      <c r="G549" s="92">
        <v>0</v>
      </c>
      <c r="H549" s="91">
        <v>0</v>
      </c>
      <c r="I549" s="91">
        <v>0</v>
      </c>
      <c r="J549" s="93">
        <v>0</v>
      </c>
      <c r="K549" s="93">
        <v>0</v>
      </c>
      <c r="L549" s="93">
        <v>0</v>
      </c>
      <c r="M549" s="93">
        <v>0</v>
      </c>
      <c r="N549" s="94">
        <v>0</v>
      </c>
      <c r="O549" s="94" t="str">
        <v/>
      </c>
      <c r="P549" s="93">
        <v>0</v>
      </c>
      <c r="Q549" s="92">
        <v>0</v>
      </c>
    </row>
    <row r="550" spans="2:17" x14ac:dyDescent="0.25">
      <c r="B550" s="92">
        <v>0</v>
      </c>
      <c r="C550" s="90">
        <v>0</v>
      </c>
      <c r="D550" s="91">
        <v>0</v>
      </c>
      <c r="E550" s="92">
        <v>0</v>
      </c>
      <c r="F550" s="92">
        <v>0</v>
      </c>
      <c r="G550" s="92">
        <v>0</v>
      </c>
      <c r="H550" s="91">
        <v>0</v>
      </c>
      <c r="I550" s="91">
        <v>0</v>
      </c>
      <c r="J550" s="93">
        <v>0</v>
      </c>
      <c r="K550" s="93">
        <v>0</v>
      </c>
      <c r="L550" s="93">
        <v>0</v>
      </c>
      <c r="M550" s="93">
        <v>0</v>
      </c>
      <c r="N550" s="94">
        <v>0</v>
      </c>
      <c r="O550" s="94" t="str">
        <v/>
      </c>
      <c r="P550" s="93">
        <v>0</v>
      </c>
      <c r="Q550" s="92">
        <v>0</v>
      </c>
    </row>
    <row r="551" spans="2:17" x14ac:dyDescent="0.25">
      <c r="B551" s="92">
        <v>0</v>
      </c>
      <c r="C551" s="90">
        <v>0</v>
      </c>
      <c r="D551" s="91">
        <v>0</v>
      </c>
      <c r="E551" s="92">
        <v>0</v>
      </c>
      <c r="F551" s="92">
        <v>0</v>
      </c>
      <c r="G551" s="92">
        <v>0</v>
      </c>
      <c r="H551" s="91">
        <v>0</v>
      </c>
      <c r="I551" s="91">
        <v>0</v>
      </c>
      <c r="J551" s="93">
        <v>0</v>
      </c>
      <c r="K551" s="93">
        <v>0</v>
      </c>
      <c r="L551" s="93">
        <v>0</v>
      </c>
      <c r="M551" s="93">
        <v>0</v>
      </c>
      <c r="N551" s="94">
        <v>0</v>
      </c>
      <c r="O551" s="94" t="str">
        <v/>
      </c>
      <c r="P551" s="93">
        <v>0</v>
      </c>
      <c r="Q551" s="92">
        <v>0</v>
      </c>
    </row>
    <row r="552" spans="2:17" x14ac:dyDescent="0.25">
      <c r="B552" s="92">
        <v>0</v>
      </c>
      <c r="C552" s="90">
        <v>0</v>
      </c>
      <c r="D552" s="91">
        <v>0</v>
      </c>
      <c r="E552" s="92">
        <v>0</v>
      </c>
      <c r="F552" s="92">
        <v>0</v>
      </c>
      <c r="G552" s="92">
        <v>0</v>
      </c>
      <c r="H552" s="91">
        <v>0</v>
      </c>
      <c r="I552" s="91">
        <v>0</v>
      </c>
      <c r="J552" s="93">
        <v>0</v>
      </c>
      <c r="K552" s="93">
        <v>0</v>
      </c>
      <c r="L552" s="93">
        <v>0</v>
      </c>
      <c r="M552" s="93">
        <v>0</v>
      </c>
      <c r="N552" s="94">
        <v>0</v>
      </c>
      <c r="O552" s="94" t="str">
        <v/>
      </c>
      <c r="P552" s="93">
        <v>0</v>
      </c>
      <c r="Q552" s="92">
        <v>0</v>
      </c>
    </row>
    <row r="553" spans="2:17" x14ac:dyDescent="0.25">
      <c r="B553" s="92">
        <v>0</v>
      </c>
      <c r="C553" s="90">
        <v>0</v>
      </c>
      <c r="D553" s="91">
        <v>0</v>
      </c>
      <c r="E553" s="92">
        <v>0</v>
      </c>
      <c r="F553" s="92">
        <v>0</v>
      </c>
      <c r="G553" s="92">
        <v>0</v>
      </c>
      <c r="H553" s="91">
        <v>0</v>
      </c>
      <c r="I553" s="91">
        <v>0</v>
      </c>
      <c r="J553" s="93">
        <v>0</v>
      </c>
      <c r="K553" s="93">
        <v>0</v>
      </c>
      <c r="L553" s="93">
        <v>0</v>
      </c>
      <c r="M553" s="93">
        <v>0</v>
      </c>
      <c r="N553" s="94">
        <v>0</v>
      </c>
      <c r="O553" s="94" t="str">
        <v/>
      </c>
      <c r="P553" s="93">
        <v>0</v>
      </c>
      <c r="Q553" s="92">
        <v>0</v>
      </c>
    </row>
    <row r="554" spans="2:17" x14ac:dyDescent="0.25">
      <c r="B554" s="92">
        <v>0</v>
      </c>
      <c r="C554" s="90">
        <v>0</v>
      </c>
      <c r="D554" s="91">
        <v>0</v>
      </c>
      <c r="E554" s="92">
        <v>0</v>
      </c>
      <c r="F554" s="92">
        <v>0</v>
      </c>
      <c r="G554" s="92">
        <v>0</v>
      </c>
      <c r="H554" s="91">
        <v>0</v>
      </c>
      <c r="I554" s="91">
        <v>0</v>
      </c>
      <c r="J554" s="93">
        <v>0</v>
      </c>
      <c r="K554" s="93">
        <v>0</v>
      </c>
      <c r="L554" s="93">
        <v>0</v>
      </c>
      <c r="M554" s="93">
        <v>0</v>
      </c>
      <c r="N554" s="94">
        <v>0</v>
      </c>
      <c r="O554" s="94" t="str">
        <v/>
      </c>
      <c r="P554" s="93">
        <v>0</v>
      </c>
      <c r="Q554" s="92">
        <v>0</v>
      </c>
    </row>
    <row r="555" spans="2:17" x14ac:dyDescent="0.25">
      <c r="B555" s="92">
        <v>0</v>
      </c>
      <c r="C555" s="90">
        <v>0</v>
      </c>
      <c r="D555" s="91">
        <v>0</v>
      </c>
      <c r="E555" s="92">
        <v>0</v>
      </c>
      <c r="F555" s="92">
        <v>0</v>
      </c>
      <c r="G555" s="92">
        <v>0</v>
      </c>
      <c r="H555" s="91">
        <v>0</v>
      </c>
      <c r="I555" s="91">
        <v>0</v>
      </c>
      <c r="J555" s="93">
        <v>0</v>
      </c>
      <c r="K555" s="93">
        <v>0</v>
      </c>
      <c r="L555" s="93">
        <v>0</v>
      </c>
      <c r="M555" s="93">
        <v>0</v>
      </c>
      <c r="N555" s="94">
        <v>0</v>
      </c>
      <c r="O555" s="94" t="str">
        <v/>
      </c>
      <c r="P555" s="93">
        <v>0</v>
      </c>
      <c r="Q555" s="92">
        <v>0</v>
      </c>
    </row>
    <row r="556" spans="2:17" x14ac:dyDescent="0.25">
      <c r="B556" s="92">
        <v>0</v>
      </c>
      <c r="C556" s="90">
        <v>0</v>
      </c>
      <c r="D556" s="91">
        <v>0</v>
      </c>
      <c r="E556" s="92">
        <v>0</v>
      </c>
      <c r="F556" s="92">
        <v>0</v>
      </c>
      <c r="G556" s="92">
        <v>0</v>
      </c>
      <c r="H556" s="91">
        <v>0</v>
      </c>
      <c r="I556" s="91">
        <v>0</v>
      </c>
      <c r="J556" s="93">
        <v>0</v>
      </c>
      <c r="K556" s="93">
        <v>0</v>
      </c>
      <c r="L556" s="93">
        <v>0</v>
      </c>
      <c r="M556" s="93">
        <v>0</v>
      </c>
      <c r="N556" s="94">
        <v>0</v>
      </c>
      <c r="O556" s="94" t="str">
        <v/>
      </c>
      <c r="P556" s="93">
        <v>0</v>
      </c>
      <c r="Q556" s="92">
        <v>0</v>
      </c>
    </row>
    <row r="557" spans="2:17" x14ac:dyDescent="0.25">
      <c r="B557" s="92">
        <v>0</v>
      </c>
      <c r="C557" s="90">
        <v>0</v>
      </c>
      <c r="D557" s="91">
        <v>0</v>
      </c>
      <c r="E557" s="92">
        <v>0</v>
      </c>
      <c r="F557" s="92">
        <v>0</v>
      </c>
      <c r="G557" s="92">
        <v>0</v>
      </c>
      <c r="H557" s="91">
        <v>0</v>
      </c>
      <c r="I557" s="91">
        <v>0</v>
      </c>
      <c r="J557" s="93">
        <v>0</v>
      </c>
      <c r="K557" s="93">
        <v>0</v>
      </c>
      <c r="L557" s="93">
        <v>0</v>
      </c>
      <c r="M557" s="93">
        <v>0</v>
      </c>
      <c r="N557" s="94">
        <v>0</v>
      </c>
      <c r="O557" s="94" t="str">
        <v/>
      </c>
      <c r="P557" s="93">
        <v>0</v>
      </c>
      <c r="Q557" s="92">
        <v>0</v>
      </c>
    </row>
    <row r="558" spans="2:17" x14ac:dyDescent="0.25">
      <c r="B558" s="92">
        <v>0</v>
      </c>
      <c r="C558" s="90">
        <v>0</v>
      </c>
      <c r="D558" s="91">
        <v>0</v>
      </c>
      <c r="E558" s="92">
        <v>0</v>
      </c>
      <c r="F558" s="92">
        <v>0</v>
      </c>
      <c r="G558" s="92">
        <v>0</v>
      </c>
      <c r="H558" s="91">
        <v>0</v>
      </c>
      <c r="I558" s="91">
        <v>0</v>
      </c>
      <c r="J558" s="93">
        <v>0</v>
      </c>
      <c r="K558" s="93">
        <v>0</v>
      </c>
      <c r="L558" s="93">
        <v>0</v>
      </c>
      <c r="M558" s="93">
        <v>0</v>
      </c>
      <c r="N558" s="94">
        <v>0</v>
      </c>
      <c r="O558" s="94" t="str">
        <v/>
      </c>
      <c r="P558" s="93">
        <v>0</v>
      </c>
      <c r="Q558" s="92">
        <v>0</v>
      </c>
    </row>
    <row r="559" spans="2:17" x14ac:dyDescent="0.25">
      <c r="B559" s="92">
        <v>0</v>
      </c>
      <c r="C559" s="90">
        <v>0</v>
      </c>
      <c r="D559" s="91">
        <v>0</v>
      </c>
      <c r="E559" s="92">
        <v>0</v>
      </c>
      <c r="F559" s="92">
        <v>0</v>
      </c>
      <c r="G559" s="92">
        <v>0</v>
      </c>
      <c r="H559" s="91">
        <v>0</v>
      </c>
      <c r="I559" s="91">
        <v>0</v>
      </c>
      <c r="J559" s="93">
        <v>0</v>
      </c>
      <c r="K559" s="93">
        <v>0</v>
      </c>
      <c r="L559" s="93">
        <v>0</v>
      </c>
      <c r="M559" s="93">
        <v>0</v>
      </c>
      <c r="N559" s="94">
        <v>0</v>
      </c>
      <c r="O559" s="94" t="str">
        <v/>
      </c>
      <c r="P559" s="93">
        <v>0</v>
      </c>
      <c r="Q559" s="92">
        <v>0</v>
      </c>
    </row>
    <row r="560" spans="2:17" x14ac:dyDescent="0.25">
      <c r="B560" s="92">
        <v>0</v>
      </c>
      <c r="C560" s="90">
        <v>0</v>
      </c>
      <c r="D560" s="91">
        <v>0</v>
      </c>
      <c r="E560" s="92">
        <v>0</v>
      </c>
      <c r="F560" s="92">
        <v>0</v>
      </c>
      <c r="G560" s="92">
        <v>0</v>
      </c>
      <c r="H560" s="91">
        <v>0</v>
      </c>
      <c r="I560" s="91">
        <v>0</v>
      </c>
      <c r="J560" s="93">
        <v>0</v>
      </c>
      <c r="K560" s="93">
        <v>0</v>
      </c>
      <c r="L560" s="93">
        <v>0</v>
      </c>
      <c r="M560" s="93">
        <v>0</v>
      </c>
      <c r="N560" s="94">
        <v>0</v>
      </c>
      <c r="O560" s="94" t="str">
        <v/>
      </c>
      <c r="P560" s="93">
        <v>0</v>
      </c>
      <c r="Q560" s="92">
        <v>0</v>
      </c>
    </row>
    <row r="561" spans="2:17" x14ac:dyDescent="0.25">
      <c r="B561" s="92">
        <v>0</v>
      </c>
      <c r="C561" s="90">
        <v>0</v>
      </c>
      <c r="D561" s="91">
        <v>0</v>
      </c>
      <c r="E561" s="92">
        <v>0</v>
      </c>
      <c r="F561" s="92">
        <v>0</v>
      </c>
      <c r="G561" s="92">
        <v>0</v>
      </c>
      <c r="H561" s="91">
        <v>0</v>
      </c>
      <c r="I561" s="91">
        <v>0</v>
      </c>
      <c r="J561" s="93">
        <v>0</v>
      </c>
      <c r="K561" s="93">
        <v>0</v>
      </c>
      <c r="L561" s="93">
        <v>0</v>
      </c>
      <c r="M561" s="93">
        <v>0</v>
      </c>
      <c r="N561" s="94">
        <v>0</v>
      </c>
      <c r="O561" s="94" t="str">
        <v/>
      </c>
      <c r="P561" s="93">
        <v>0</v>
      </c>
      <c r="Q561" s="92">
        <v>0</v>
      </c>
    </row>
    <row r="562" spans="2:17" x14ac:dyDescent="0.25">
      <c r="B562" s="92">
        <v>0</v>
      </c>
      <c r="C562" s="90">
        <v>0</v>
      </c>
      <c r="D562" s="91">
        <v>0</v>
      </c>
      <c r="E562" s="92">
        <v>0</v>
      </c>
      <c r="F562" s="92">
        <v>0</v>
      </c>
      <c r="G562" s="92">
        <v>0</v>
      </c>
      <c r="H562" s="91">
        <v>0</v>
      </c>
      <c r="I562" s="91">
        <v>0</v>
      </c>
      <c r="J562" s="93">
        <v>0</v>
      </c>
      <c r="K562" s="93">
        <v>0</v>
      </c>
      <c r="L562" s="93">
        <v>0</v>
      </c>
      <c r="M562" s="93">
        <v>0</v>
      </c>
      <c r="N562" s="94">
        <v>0</v>
      </c>
      <c r="O562" s="94" t="str">
        <v/>
      </c>
      <c r="P562" s="93">
        <v>0</v>
      </c>
      <c r="Q562" s="92">
        <v>0</v>
      </c>
    </row>
    <row r="563" spans="2:17" x14ac:dyDescent="0.25">
      <c r="B563" s="92">
        <v>0</v>
      </c>
      <c r="C563" s="90">
        <v>0</v>
      </c>
      <c r="D563" s="91">
        <v>0</v>
      </c>
      <c r="E563" s="92">
        <v>0</v>
      </c>
      <c r="F563" s="92">
        <v>0</v>
      </c>
      <c r="G563" s="92">
        <v>0</v>
      </c>
      <c r="H563" s="91">
        <v>0</v>
      </c>
      <c r="I563" s="91">
        <v>0</v>
      </c>
      <c r="J563" s="93">
        <v>0</v>
      </c>
      <c r="K563" s="93">
        <v>0</v>
      </c>
      <c r="L563" s="93">
        <v>0</v>
      </c>
      <c r="M563" s="93">
        <v>0</v>
      </c>
      <c r="N563" s="94">
        <v>0</v>
      </c>
      <c r="O563" s="94" t="str">
        <v/>
      </c>
      <c r="P563" s="93">
        <v>0</v>
      </c>
      <c r="Q563" s="92">
        <v>0</v>
      </c>
    </row>
    <row r="564" spans="2:17" x14ac:dyDescent="0.25">
      <c r="B564" s="92">
        <v>0</v>
      </c>
      <c r="C564" s="90">
        <v>0</v>
      </c>
      <c r="D564" s="91">
        <v>0</v>
      </c>
      <c r="E564" s="92">
        <v>0</v>
      </c>
      <c r="F564" s="92">
        <v>0</v>
      </c>
      <c r="G564" s="92">
        <v>0</v>
      </c>
      <c r="H564" s="91">
        <v>0</v>
      </c>
      <c r="I564" s="91">
        <v>0</v>
      </c>
      <c r="J564" s="93">
        <v>0</v>
      </c>
      <c r="K564" s="93">
        <v>0</v>
      </c>
      <c r="L564" s="93">
        <v>0</v>
      </c>
      <c r="M564" s="93">
        <v>0</v>
      </c>
      <c r="N564" s="94">
        <v>0</v>
      </c>
      <c r="O564" s="94" t="str">
        <v/>
      </c>
      <c r="P564" s="93">
        <v>0</v>
      </c>
      <c r="Q564" s="92">
        <v>0</v>
      </c>
    </row>
    <row r="565" spans="2:17" x14ac:dyDescent="0.25">
      <c r="B565" s="92">
        <v>0</v>
      </c>
      <c r="C565" s="90">
        <v>0</v>
      </c>
      <c r="D565" s="91">
        <v>0</v>
      </c>
      <c r="E565" s="92">
        <v>0</v>
      </c>
      <c r="F565" s="92">
        <v>0</v>
      </c>
      <c r="G565" s="92">
        <v>0</v>
      </c>
      <c r="H565" s="91">
        <v>0</v>
      </c>
      <c r="I565" s="91">
        <v>0</v>
      </c>
      <c r="J565" s="93">
        <v>0</v>
      </c>
      <c r="K565" s="93">
        <v>0</v>
      </c>
      <c r="L565" s="93">
        <v>0</v>
      </c>
      <c r="M565" s="93">
        <v>0</v>
      </c>
      <c r="N565" s="94">
        <v>0</v>
      </c>
      <c r="O565" s="94" t="str">
        <v/>
      </c>
      <c r="P565" s="93">
        <v>0</v>
      </c>
      <c r="Q565" s="92">
        <v>0</v>
      </c>
    </row>
    <row r="566" spans="2:17" x14ac:dyDescent="0.25">
      <c r="B566" s="92">
        <v>0</v>
      </c>
      <c r="C566" s="90">
        <v>0</v>
      </c>
      <c r="D566" s="91">
        <v>0</v>
      </c>
      <c r="E566" s="92">
        <v>0</v>
      </c>
      <c r="F566" s="92">
        <v>0</v>
      </c>
      <c r="G566" s="92">
        <v>0</v>
      </c>
      <c r="H566" s="91">
        <v>0</v>
      </c>
      <c r="I566" s="91">
        <v>0</v>
      </c>
      <c r="J566" s="93">
        <v>0</v>
      </c>
      <c r="K566" s="93">
        <v>0</v>
      </c>
      <c r="L566" s="93">
        <v>0</v>
      </c>
      <c r="M566" s="93">
        <v>0</v>
      </c>
      <c r="N566" s="94">
        <v>0</v>
      </c>
      <c r="O566" s="94" t="str">
        <v/>
      </c>
      <c r="P566" s="93">
        <v>0</v>
      </c>
      <c r="Q566" s="92">
        <v>0</v>
      </c>
    </row>
    <row r="567" spans="2:17" x14ac:dyDescent="0.25">
      <c r="B567" s="92">
        <v>0</v>
      </c>
      <c r="C567" s="90">
        <v>0</v>
      </c>
      <c r="D567" s="91">
        <v>0</v>
      </c>
      <c r="E567" s="92">
        <v>0</v>
      </c>
      <c r="F567" s="92">
        <v>0</v>
      </c>
      <c r="G567" s="92">
        <v>0</v>
      </c>
      <c r="H567" s="91">
        <v>0</v>
      </c>
      <c r="I567" s="91">
        <v>0</v>
      </c>
      <c r="J567" s="93">
        <v>0</v>
      </c>
      <c r="K567" s="93">
        <v>0</v>
      </c>
      <c r="L567" s="93">
        <v>0</v>
      </c>
      <c r="M567" s="93">
        <v>0</v>
      </c>
      <c r="N567" s="94">
        <v>0</v>
      </c>
      <c r="O567" s="94" t="str">
        <v/>
      </c>
      <c r="P567" s="93">
        <v>0</v>
      </c>
      <c r="Q567" s="92">
        <v>0</v>
      </c>
    </row>
    <row r="568" spans="2:17" x14ac:dyDescent="0.25">
      <c r="B568" s="92">
        <v>0</v>
      </c>
      <c r="C568" s="90">
        <v>0</v>
      </c>
      <c r="D568" s="91">
        <v>0</v>
      </c>
      <c r="E568" s="92">
        <v>0</v>
      </c>
      <c r="F568" s="92">
        <v>0</v>
      </c>
      <c r="G568" s="92">
        <v>0</v>
      </c>
      <c r="H568" s="91">
        <v>0</v>
      </c>
      <c r="I568" s="91">
        <v>0</v>
      </c>
      <c r="J568" s="93">
        <v>0</v>
      </c>
      <c r="K568" s="93">
        <v>0</v>
      </c>
      <c r="L568" s="93">
        <v>0</v>
      </c>
      <c r="M568" s="93">
        <v>0</v>
      </c>
      <c r="N568" s="94">
        <v>0</v>
      </c>
      <c r="O568" s="94" t="str">
        <v/>
      </c>
      <c r="P568" s="93">
        <v>0</v>
      </c>
      <c r="Q568" s="92">
        <v>0</v>
      </c>
    </row>
    <row r="569" spans="2:17" x14ac:dyDescent="0.25">
      <c r="B569" s="92">
        <v>0</v>
      </c>
      <c r="C569" s="90">
        <v>0</v>
      </c>
      <c r="D569" s="91">
        <v>0</v>
      </c>
      <c r="E569" s="92">
        <v>0</v>
      </c>
      <c r="F569" s="92">
        <v>0</v>
      </c>
      <c r="G569" s="92">
        <v>0</v>
      </c>
      <c r="H569" s="91">
        <v>0</v>
      </c>
      <c r="I569" s="91">
        <v>0</v>
      </c>
      <c r="J569" s="93">
        <v>0</v>
      </c>
      <c r="K569" s="93">
        <v>0</v>
      </c>
      <c r="L569" s="93">
        <v>0</v>
      </c>
      <c r="M569" s="93">
        <v>0</v>
      </c>
      <c r="N569" s="94">
        <v>0</v>
      </c>
      <c r="O569" s="94" t="str">
        <v/>
      </c>
      <c r="P569" s="93">
        <v>0</v>
      </c>
      <c r="Q569" s="92">
        <v>0</v>
      </c>
    </row>
    <row r="570" spans="2:17" x14ac:dyDescent="0.25">
      <c r="B570" s="92">
        <v>0</v>
      </c>
      <c r="C570" s="90">
        <v>0</v>
      </c>
      <c r="D570" s="91">
        <v>0</v>
      </c>
      <c r="E570" s="92">
        <v>0</v>
      </c>
      <c r="F570" s="92">
        <v>0</v>
      </c>
      <c r="G570" s="92">
        <v>0</v>
      </c>
      <c r="H570" s="91">
        <v>0</v>
      </c>
      <c r="I570" s="91">
        <v>0</v>
      </c>
      <c r="J570" s="93">
        <v>0</v>
      </c>
      <c r="K570" s="93">
        <v>0</v>
      </c>
      <c r="L570" s="93">
        <v>0</v>
      </c>
      <c r="M570" s="93">
        <v>0</v>
      </c>
      <c r="N570" s="94">
        <v>0</v>
      </c>
      <c r="O570" s="94" t="str">
        <v/>
      </c>
      <c r="P570" s="93">
        <v>0</v>
      </c>
      <c r="Q570" s="92">
        <v>0</v>
      </c>
    </row>
    <row r="571" spans="2:17" x14ac:dyDescent="0.25">
      <c r="B571" s="92">
        <v>0</v>
      </c>
      <c r="C571" s="90">
        <v>0</v>
      </c>
      <c r="D571" s="91">
        <v>0</v>
      </c>
      <c r="E571" s="92">
        <v>0</v>
      </c>
      <c r="F571" s="92">
        <v>0</v>
      </c>
      <c r="G571" s="92">
        <v>0</v>
      </c>
      <c r="H571" s="91">
        <v>0</v>
      </c>
      <c r="I571" s="91">
        <v>0</v>
      </c>
      <c r="J571" s="93">
        <v>0</v>
      </c>
      <c r="K571" s="93">
        <v>0</v>
      </c>
      <c r="L571" s="93">
        <v>0</v>
      </c>
      <c r="M571" s="93">
        <v>0</v>
      </c>
      <c r="N571" s="94">
        <v>0</v>
      </c>
      <c r="O571" s="94" t="str">
        <v/>
      </c>
      <c r="P571" s="93">
        <v>0</v>
      </c>
      <c r="Q571" s="92">
        <v>0</v>
      </c>
    </row>
    <row r="572" spans="2:17" x14ac:dyDescent="0.25">
      <c r="B572" s="92">
        <v>0</v>
      </c>
      <c r="C572" s="90">
        <v>0</v>
      </c>
      <c r="D572" s="91">
        <v>0</v>
      </c>
      <c r="E572" s="92">
        <v>0</v>
      </c>
      <c r="F572" s="92">
        <v>0</v>
      </c>
      <c r="G572" s="92">
        <v>0</v>
      </c>
      <c r="H572" s="91">
        <v>0</v>
      </c>
      <c r="I572" s="91">
        <v>0</v>
      </c>
      <c r="J572" s="93">
        <v>0</v>
      </c>
      <c r="K572" s="93">
        <v>0</v>
      </c>
      <c r="L572" s="93">
        <v>0</v>
      </c>
      <c r="M572" s="93">
        <v>0</v>
      </c>
      <c r="N572" s="94">
        <v>0</v>
      </c>
      <c r="O572" s="94" t="str">
        <v/>
      </c>
      <c r="P572" s="93">
        <v>0</v>
      </c>
      <c r="Q572" s="92">
        <v>0</v>
      </c>
    </row>
    <row r="573" spans="2:17" x14ac:dyDescent="0.25">
      <c r="B573" s="92">
        <v>0</v>
      </c>
      <c r="C573" s="90">
        <v>0</v>
      </c>
      <c r="D573" s="91">
        <v>0</v>
      </c>
      <c r="E573" s="92">
        <v>0</v>
      </c>
      <c r="F573" s="92">
        <v>0</v>
      </c>
      <c r="G573" s="92">
        <v>0</v>
      </c>
      <c r="H573" s="91">
        <v>0</v>
      </c>
      <c r="I573" s="91">
        <v>0</v>
      </c>
      <c r="J573" s="93">
        <v>0</v>
      </c>
      <c r="K573" s="93">
        <v>0</v>
      </c>
      <c r="L573" s="93">
        <v>0</v>
      </c>
      <c r="M573" s="93">
        <v>0</v>
      </c>
      <c r="N573" s="94">
        <v>0</v>
      </c>
      <c r="O573" s="94" t="str">
        <v/>
      </c>
      <c r="P573" s="93">
        <v>0</v>
      </c>
      <c r="Q573" s="92">
        <v>0</v>
      </c>
    </row>
    <row r="574" spans="2:17" x14ac:dyDescent="0.25">
      <c r="B574" s="92">
        <v>0</v>
      </c>
      <c r="C574" s="90">
        <v>0</v>
      </c>
      <c r="D574" s="91">
        <v>0</v>
      </c>
      <c r="E574" s="92">
        <v>0</v>
      </c>
      <c r="F574" s="92">
        <v>0</v>
      </c>
      <c r="G574" s="92">
        <v>0</v>
      </c>
      <c r="H574" s="91">
        <v>0</v>
      </c>
      <c r="I574" s="91">
        <v>0</v>
      </c>
      <c r="J574" s="93">
        <v>0</v>
      </c>
      <c r="K574" s="93">
        <v>0</v>
      </c>
      <c r="L574" s="93">
        <v>0</v>
      </c>
      <c r="M574" s="93">
        <v>0</v>
      </c>
      <c r="N574" s="94">
        <v>0</v>
      </c>
      <c r="O574" s="94" t="str">
        <v/>
      </c>
      <c r="P574" s="93">
        <v>0</v>
      </c>
      <c r="Q574" s="92">
        <v>0</v>
      </c>
    </row>
    <row r="575" spans="2:17" x14ac:dyDescent="0.25">
      <c r="B575" s="92">
        <v>0</v>
      </c>
      <c r="C575" s="90">
        <v>0</v>
      </c>
      <c r="D575" s="91">
        <v>0</v>
      </c>
      <c r="E575" s="92">
        <v>0</v>
      </c>
      <c r="F575" s="92">
        <v>0</v>
      </c>
      <c r="G575" s="92">
        <v>0</v>
      </c>
      <c r="H575" s="91">
        <v>0</v>
      </c>
      <c r="I575" s="91">
        <v>0</v>
      </c>
      <c r="J575" s="93">
        <v>0</v>
      </c>
      <c r="K575" s="93">
        <v>0</v>
      </c>
      <c r="L575" s="93">
        <v>0</v>
      </c>
      <c r="M575" s="93">
        <v>0</v>
      </c>
      <c r="N575" s="94">
        <v>0</v>
      </c>
      <c r="O575" s="94" t="str">
        <v/>
      </c>
      <c r="P575" s="93">
        <v>0</v>
      </c>
      <c r="Q575" s="92">
        <v>0</v>
      </c>
    </row>
    <row r="576" spans="2:17" x14ac:dyDescent="0.25">
      <c r="B576" s="92">
        <v>0</v>
      </c>
      <c r="C576" s="90">
        <v>0</v>
      </c>
      <c r="D576" s="91">
        <v>0</v>
      </c>
      <c r="E576" s="92">
        <v>0</v>
      </c>
      <c r="F576" s="92">
        <v>0</v>
      </c>
      <c r="G576" s="92">
        <v>0</v>
      </c>
      <c r="H576" s="91">
        <v>0</v>
      </c>
      <c r="I576" s="91">
        <v>0</v>
      </c>
      <c r="J576" s="93">
        <v>0</v>
      </c>
      <c r="K576" s="93">
        <v>0</v>
      </c>
      <c r="L576" s="93">
        <v>0</v>
      </c>
      <c r="M576" s="93">
        <v>0</v>
      </c>
      <c r="N576" s="94">
        <v>0</v>
      </c>
      <c r="O576" s="94" t="str">
        <v/>
      </c>
      <c r="P576" s="93">
        <v>0</v>
      </c>
      <c r="Q576" s="92">
        <v>0</v>
      </c>
    </row>
    <row r="577" spans="2:17" x14ac:dyDescent="0.25">
      <c r="B577" s="92">
        <v>0</v>
      </c>
      <c r="C577" s="90">
        <v>0</v>
      </c>
      <c r="D577" s="91">
        <v>0</v>
      </c>
      <c r="E577" s="92">
        <v>0</v>
      </c>
      <c r="F577" s="92">
        <v>0</v>
      </c>
      <c r="G577" s="92">
        <v>0</v>
      </c>
      <c r="H577" s="91">
        <v>0</v>
      </c>
      <c r="I577" s="91">
        <v>0</v>
      </c>
      <c r="J577" s="93">
        <v>0</v>
      </c>
      <c r="K577" s="93">
        <v>0</v>
      </c>
      <c r="L577" s="93">
        <v>0</v>
      </c>
      <c r="M577" s="93">
        <v>0</v>
      </c>
      <c r="N577" s="94">
        <v>0</v>
      </c>
      <c r="O577" s="94" t="str">
        <v/>
      </c>
      <c r="P577" s="93">
        <v>0</v>
      </c>
      <c r="Q577" s="92">
        <v>0</v>
      </c>
    </row>
    <row r="578" spans="2:17" x14ac:dyDescent="0.25">
      <c r="B578" s="92">
        <v>0</v>
      </c>
      <c r="C578" s="90">
        <v>0</v>
      </c>
      <c r="D578" s="91">
        <v>0</v>
      </c>
      <c r="E578" s="92">
        <v>0</v>
      </c>
      <c r="F578" s="92">
        <v>0</v>
      </c>
      <c r="G578" s="92">
        <v>0</v>
      </c>
      <c r="H578" s="91">
        <v>0</v>
      </c>
      <c r="I578" s="91">
        <v>0</v>
      </c>
      <c r="J578" s="93">
        <v>0</v>
      </c>
      <c r="K578" s="93">
        <v>0</v>
      </c>
      <c r="L578" s="93">
        <v>0</v>
      </c>
      <c r="M578" s="93">
        <v>0</v>
      </c>
      <c r="N578" s="94">
        <v>0</v>
      </c>
      <c r="O578" s="94" t="str">
        <v/>
      </c>
      <c r="P578" s="93">
        <v>0</v>
      </c>
      <c r="Q578" s="92">
        <v>0</v>
      </c>
    </row>
    <row r="579" spans="2:17" x14ac:dyDescent="0.25">
      <c r="B579" s="92">
        <v>0</v>
      </c>
      <c r="C579" s="90">
        <v>0</v>
      </c>
      <c r="D579" s="91">
        <v>0</v>
      </c>
      <c r="E579" s="92">
        <v>0</v>
      </c>
      <c r="F579" s="92">
        <v>0</v>
      </c>
      <c r="G579" s="92">
        <v>0</v>
      </c>
      <c r="H579" s="91">
        <v>0</v>
      </c>
      <c r="I579" s="91">
        <v>0</v>
      </c>
      <c r="J579" s="93">
        <v>0</v>
      </c>
      <c r="K579" s="93">
        <v>0</v>
      </c>
      <c r="L579" s="93">
        <v>0</v>
      </c>
      <c r="M579" s="93">
        <v>0</v>
      </c>
      <c r="N579" s="94">
        <v>0</v>
      </c>
      <c r="O579" s="94" t="str">
        <v/>
      </c>
      <c r="P579" s="93">
        <v>0</v>
      </c>
      <c r="Q579" s="92">
        <v>0</v>
      </c>
    </row>
    <row r="580" spans="2:17" x14ac:dyDescent="0.25">
      <c r="B580" s="92">
        <v>0</v>
      </c>
      <c r="C580" s="90">
        <v>0</v>
      </c>
      <c r="D580" s="91">
        <v>0</v>
      </c>
      <c r="E580" s="92">
        <v>0</v>
      </c>
      <c r="F580" s="92">
        <v>0</v>
      </c>
      <c r="G580" s="92">
        <v>0</v>
      </c>
      <c r="H580" s="91">
        <v>0</v>
      </c>
      <c r="I580" s="91">
        <v>0</v>
      </c>
      <c r="J580" s="93">
        <v>0</v>
      </c>
      <c r="K580" s="93">
        <v>0</v>
      </c>
      <c r="L580" s="93">
        <v>0</v>
      </c>
      <c r="M580" s="93">
        <v>0</v>
      </c>
      <c r="N580" s="94">
        <v>0</v>
      </c>
      <c r="O580" s="94" t="str">
        <v/>
      </c>
      <c r="P580" s="93">
        <v>0</v>
      </c>
      <c r="Q580" s="92">
        <v>0</v>
      </c>
    </row>
    <row r="581" spans="2:17" x14ac:dyDescent="0.25">
      <c r="B581" s="92">
        <v>0</v>
      </c>
      <c r="C581" s="90">
        <v>0</v>
      </c>
      <c r="D581" s="91">
        <v>0</v>
      </c>
      <c r="E581" s="92">
        <v>0</v>
      </c>
      <c r="F581" s="92">
        <v>0</v>
      </c>
      <c r="G581" s="92">
        <v>0</v>
      </c>
      <c r="H581" s="91">
        <v>0</v>
      </c>
      <c r="I581" s="91">
        <v>0</v>
      </c>
      <c r="J581" s="93">
        <v>0</v>
      </c>
      <c r="K581" s="93">
        <v>0</v>
      </c>
      <c r="L581" s="93">
        <v>0</v>
      </c>
      <c r="M581" s="93">
        <v>0</v>
      </c>
      <c r="N581" s="94">
        <v>0</v>
      </c>
      <c r="O581" s="94" t="str">
        <v/>
      </c>
      <c r="P581" s="93">
        <v>0</v>
      </c>
      <c r="Q581" s="92">
        <v>0</v>
      </c>
    </row>
    <row r="582" spans="2:17" x14ac:dyDescent="0.25">
      <c r="B582" s="92">
        <v>0</v>
      </c>
      <c r="C582" s="90">
        <v>0</v>
      </c>
      <c r="D582" s="91">
        <v>0</v>
      </c>
      <c r="E582" s="92">
        <v>0</v>
      </c>
      <c r="F582" s="92">
        <v>0</v>
      </c>
      <c r="G582" s="92">
        <v>0</v>
      </c>
      <c r="H582" s="91">
        <v>0</v>
      </c>
      <c r="I582" s="91">
        <v>0</v>
      </c>
      <c r="J582" s="93">
        <v>0</v>
      </c>
      <c r="K582" s="93">
        <v>0</v>
      </c>
      <c r="L582" s="93">
        <v>0</v>
      </c>
      <c r="M582" s="93">
        <v>0</v>
      </c>
      <c r="N582" s="94">
        <v>0</v>
      </c>
      <c r="O582" s="94" t="str">
        <v/>
      </c>
      <c r="P582" s="93">
        <v>0</v>
      </c>
      <c r="Q582" s="92">
        <v>0</v>
      </c>
    </row>
    <row r="583" spans="2:17" x14ac:dyDescent="0.25">
      <c r="B583" s="92">
        <v>0</v>
      </c>
      <c r="C583" s="90">
        <v>0</v>
      </c>
      <c r="D583" s="91">
        <v>0</v>
      </c>
      <c r="E583" s="92">
        <v>0</v>
      </c>
      <c r="F583" s="92">
        <v>0</v>
      </c>
      <c r="G583" s="92">
        <v>0</v>
      </c>
      <c r="H583" s="91">
        <v>0</v>
      </c>
      <c r="I583" s="91">
        <v>0</v>
      </c>
      <c r="J583" s="93">
        <v>0</v>
      </c>
      <c r="K583" s="93">
        <v>0</v>
      </c>
      <c r="L583" s="93">
        <v>0</v>
      </c>
      <c r="M583" s="93">
        <v>0</v>
      </c>
      <c r="N583" s="94">
        <v>0</v>
      </c>
      <c r="O583" s="94" t="str">
        <v/>
      </c>
      <c r="P583" s="93">
        <v>0</v>
      </c>
      <c r="Q583" s="92">
        <v>0</v>
      </c>
    </row>
    <row r="584" spans="2:17" x14ac:dyDescent="0.25">
      <c r="B584" s="92">
        <v>0</v>
      </c>
      <c r="C584" s="90">
        <v>0</v>
      </c>
      <c r="D584" s="91">
        <v>0</v>
      </c>
      <c r="E584" s="92">
        <v>0</v>
      </c>
      <c r="F584" s="92">
        <v>0</v>
      </c>
      <c r="G584" s="92">
        <v>0</v>
      </c>
      <c r="H584" s="91">
        <v>0</v>
      </c>
      <c r="I584" s="91">
        <v>0</v>
      </c>
      <c r="J584" s="93">
        <v>0</v>
      </c>
      <c r="K584" s="93">
        <v>0</v>
      </c>
      <c r="L584" s="93">
        <v>0</v>
      </c>
      <c r="M584" s="93">
        <v>0</v>
      </c>
      <c r="N584" s="94">
        <v>0</v>
      </c>
      <c r="O584" s="94" t="str">
        <v/>
      </c>
      <c r="P584" s="93">
        <v>0</v>
      </c>
      <c r="Q584" s="92">
        <v>0</v>
      </c>
    </row>
    <row r="585" spans="2:17" x14ac:dyDescent="0.25">
      <c r="B585" s="92">
        <v>0</v>
      </c>
      <c r="C585" s="90">
        <v>0</v>
      </c>
      <c r="D585" s="91">
        <v>0</v>
      </c>
      <c r="E585" s="92">
        <v>0</v>
      </c>
      <c r="F585" s="92">
        <v>0</v>
      </c>
      <c r="G585" s="92">
        <v>0</v>
      </c>
      <c r="H585" s="91">
        <v>0</v>
      </c>
      <c r="I585" s="91">
        <v>0</v>
      </c>
      <c r="J585" s="93">
        <v>0</v>
      </c>
      <c r="K585" s="93">
        <v>0</v>
      </c>
      <c r="L585" s="93">
        <v>0</v>
      </c>
      <c r="M585" s="93">
        <v>0</v>
      </c>
      <c r="N585" s="94">
        <v>0</v>
      </c>
      <c r="O585" s="94" t="str">
        <v/>
      </c>
      <c r="P585" s="93">
        <v>0</v>
      </c>
      <c r="Q585" s="92">
        <v>0</v>
      </c>
    </row>
    <row r="586" spans="2:17" x14ac:dyDescent="0.25">
      <c r="B586" s="92">
        <v>0</v>
      </c>
      <c r="C586" s="90">
        <v>0</v>
      </c>
      <c r="D586" s="91">
        <v>0</v>
      </c>
      <c r="E586" s="92">
        <v>0</v>
      </c>
      <c r="F586" s="92">
        <v>0</v>
      </c>
      <c r="G586" s="92">
        <v>0</v>
      </c>
      <c r="H586" s="91">
        <v>0</v>
      </c>
      <c r="I586" s="91">
        <v>0</v>
      </c>
      <c r="J586" s="93">
        <v>0</v>
      </c>
      <c r="K586" s="93">
        <v>0</v>
      </c>
      <c r="L586" s="93">
        <v>0</v>
      </c>
      <c r="M586" s="93">
        <v>0</v>
      </c>
      <c r="N586" s="94">
        <v>0</v>
      </c>
      <c r="O586" s="94" t="str">
        <v/>
      </c>
      <c r="P586" s="93">
        <v>0</v>
      </c>
      <c r="Q586" s="92">
        <v>0</v>
      </c>
    </row>
    <row r="587" spans="2:17" x14ac:dyDescent="0.25">
      <c r="B587" s="92">
        <v>0</v>
      </c>
      <c r="C587" s="90">
        <v>0</v>
      </c>
      <c r="D587" s="91">
        <v>0</v>
      </c>
      <c r="E587" s="92">
        <v>0</v>
      </c>
      <c r="F587" s="92">
        <v>0</v>
      </c>
      <c r="G587" s="92">
        <v>0</v>
      </c>
      <c r="H587" s="91">
        <v>0</v>
      </c>
      <c r="I587" s="91">
        <v>0</v>
      </c>
      <c r="J587" s="93">
        <v>0</v>
      </c>
      <c r="K587" s="93">
        <v>0</v>
      </c>
      <c r="L587" s="93">
        <v>0</v>
      </c>
      <c r="M587" s="93">
        <v>0</v>
      </c>
      <c r="N587" s="94">
        <v>0</v>
      </c>
      <c r="O587" s="94" t="str">
        <v/>
      </c>
      <c r="P587" s="93">
        <v>0</v>
      </c>
      <c r="Q587" s="92">
        <v>0</v>
      </c>
    </row>
    <row r="588" spans="2:17" x14ac:dyDescent="0.25">
      <c r="B588" s="92">
        <v>0</v>
      </c>
      <c r="C588" s="90">
        <v>0</v>
      </c>
      <c r="D588" s="91">
        <v>0</v>
      </c>
      <c r="E588" s="92">
        <v>0</v>
      </c>
      <c r="F588" s="92">
        <v>0</v>
      </c>
      <c r="G588" s="92">
        <v>0</v>
      </c>
      <c r="H588" s="91">
        <v>0</v>
      </c>
      <c r="I588" s="91">
        <v>0</v>
      </c>
      <c r="J588" s="93">
        <v>0</v>
      </c>
      <c r="K588" s="93">
        <v>0</v>
      </c>
      <c r="L588" s="93">
        <v>0</v>
      </c>
      <c r="M588" s="93">
        <v>0</v>
      </c>
      <c r="N588" s="94">
        <v>0</v>
      </c>
      <c r="O588" s="94" t="str">
        <v/>
      </c>
      <c r="P588" s="93">
        <v>0</v>
      </c>
      <c r="Q588" s="92">
        <v>0</v>
      </c>
    </row>
    <row r="589" spans="2:17" x14ac:dyDescent="0.25">
      <c r="B589" s="92">
        <v>0</v>
      </c>
      <c r="C589" s="90">
        <v>0</v>
      </c>
      <c r="D589" s="91">
        <v>0</v>
      </c>
      <c r="E589" s="92">
        <v>0</v>
      </c>
      <c r="F589" s="92">
        <v>0</v>
      </c>
      <c r="G589" s="92">
        <v>0</v>
      </c>
      <c r="H589" s="91">
        <v>0</v>
      </c>
      <c r="I589" s="91">
        <v>0</v>
      </c>
      <c r="J589" s="93">
        <v>0</v>
      </c>
      <c r="K589" s="93">
        <v>0</v>
      </c>
      <c r="L589" s="93">
        <v>0</v>
      </c>
      <c r="M589" s="93">
        <v>0</v>
      </c>
      <c r="N589" s="94">
        <v>0</v>
      </c>
      <c r="O589" s="94" t="str">
        <v/>
      </c>
      <c r="P589" s="93">
        <v>0</v>
      </c>
      <c r="Q589" s="92">
        <v>0</v>
      </c>
    </row>
    <row r="590" spans="2:17" x14ac:dyDescent="0.25">
      <c r="B590" s="92">
        <v>0</v>
      </c>
      <c r="C590" s="90">
        <v>0</v>
      </c>
      <c r="D590" s="91">
        <v>0</v>
      </c>
      <c r="E590" s="92">
        <v>0</v>
      </c>
      <c r="F590" s="92">
        <v>0</v>
      </c>
      <c r="G590" s="92">
        <v>0</v>
      </c>
      <c r="H590" s="91">
        <v>0</v>
      </c>
      <c r="I590" s="91">
        <v>0</v>
      </c>
      <c r="J590" s="93">
        <v>0</v>
      </c>
      <c r="K590" s="93">
        <v>0</v>
      </c>
      <c r="L590" s="93">
        <v>0</v>
      </c>
      <c r="M590" s="93">
        <v>0</v>
      </c>
      <c r="N590" s="94">
        <v>0</v>
      </c>
      <c r="O590" s="94" t="str">
        <v/>
      </c>
      <c r="P590" s="93">
        <v>0</v>
      </c>
      <c r="Q590" s="92">
        <v>0</v>
      </c>
    </row>
    <row r="591" spans="2:17" x14ac:dyDescent="0.25">
      <c r="B591" s="92">
        <v>0</v>
      </c>
      <c r="C591" s="90">
        <v>0</v>
      </c>
      <c r="D591" s="91">
        <v>0</v>
      </c>
      <c r="E591" s="92">
        <v>0</v>
      </c>
      <c r="F591" s="92">
        <v>0</v>
      </c>
      <c r="G591" s="92">
        <v>0</v>
      </c>
      <c r="H591" s="91">
        <v>0</v>
      </c>
      <c r="I591" s="91">
        <v>0</v>
      </c>
      <c r="J591" s="93">
        <v>0</v>
      </c>
      <c r="K591" s="93">
        <v>0</v>
      </c>
      <c r="L591" s="93">
        <v>0</v>
      </c>
      <c r="M591" s="93">
        <v>0</v>
      </c>
      <c r="N591" s="94">
        <v>0</v>
      </c>
      <c r="O591" s="94" t="str">
        <v/>
      </c>
      <c r="P591" s="93">
        <v>0</v>
      </c>
      <c r="Q591" s="92">
        <v>0</v>
      </c>
    </row>
    <row r="592" spans="2:17" x14ac:dyDescent="0.25">
      <c r="B592" s="92">
        <v>0</v>
      </c>
      <c r="C592" s="90">
        <v>0</v>
      </c>
      <c r="D592" s="91">
        <v>0</v>
      </c>
      <c r="E592" s="92">
        <v>0</v>
      </c>
      <c r="F592" s="92">
        <v>0</v>
      </c>
      <c r="G592" s="92">
        <v>0</v>
      </c>
      <c r="H592" s="91">
        <v>0</v>
      </c>
      <c r="I592" s="91">
        <v>0</v>
      </c>
      <c r="J592" s="93">
        <v>0</v>
      </c>
      <c r="K592" s="93">
        <v>0</v>
      </c>
      <c r="L592" s="93">
        <v>0</v>
      </c>
      <c r="M592" s="93">
        <v>0</v>
      </c>
      <c r="N592" s="94">
        <v>0</v>
      </c>
      <c r="O592" s="94" t="str">
        <v/>
      </c>
      <c r="P592" s="93">
        <v>0</v>
      </c>
      <c r="Q592" s="92">
        <v>0</v>
      </c>
    </row>
    <row r="593" spans="2:17" x14ac:dyDescent="0.25">
      <c r="B593" s="92">
        <v>0</v>
      </c>
      <c r="C593" s="90">
        <v>0</v>
      </c>
      <c r="D593" s="91">
        <v>0</v>
      </c>
      <c r="E593" s="92">
        <v>0</v>
      </c>
      <c r="F593" s="92">
        <v>0</v>
      </c>
      <c r="G593" s="92">
        <v>0</v>
      </c>
      <c r="H593" s="91">
        <v>0</v>
      </c>
      <c r="I593" s="91">
        <v>0</v>
      </c>
      <c r="J593" s="93">
        <v>0</v>
      </c>
      <c r="K593" s="93">
        <v>0</v>
      </c>
      <c r="L593" s="93">
        <v>0</v>
      </c>
      <c r="M593" s="93">
        <v>0</v>
      </c>
      <c r="N593" s="94">
        <v>0</v>
      </c>
      <c r="O593" s="94" t="str">
        <v/>
      </c>
      <c r="P593" s="93">
        <v>0</v>
      </c>
      <c r="Q593" s="92">
        <v>0</v>
      </c>
    </row>
    <row r="594" spans="2:17" x14ac:dyDescent="0.25">
      <c r="B594" s="92">
        <v>0</v>
      </c>
      <c r="C594" s="90">
        <v>0</v>
      </c>
      <c r="D594" s="91">
        <v>0</v>
      </c>
      <c r="E594" s="92">
        <v>0</v>
      </c>
      <c r="F594" s="92">
        <v>0</v>
      </c>
      <c r="G594" s="92">
        <v>0</v>
      </c>
      <c r="H594" s="91">
        <v>0</v>
      </c>
      <c r="I594" s="91">
        <v>0</v>
      </c>
      <c r="J594" s="93">
        <v>0</v>
      </c>
      <c r="K594" s="93">
        <v>0</v>
      </c>
      <c r="L594" s="93">
        <v>0</v>
      </c>
      <c r="M594" s="93">
        <v>0</v>
      </c>
      <c r="N594" s="94">
        <v>0</v>
      </c>
      <c r="O594" s="94" t="str">
        <v/>
      </c>
      <c r="P594" s="93">
        <v>0</v>
      </c>
      <c r="Q594" s="92">
        <v>0</v>
      </c>
    </row>
    <row r="595" spans="2:17" x14ac:dyDescent="0.25">
      <c r="B595" s="92">
        <v>0</v>
      </c>
      <c r="C595" s="90">
        <v>0</v>
      </c>
      <c r="D595" s="91">
        <v>0</v>
      </c>
      <c r="E595" s="92">
        <v>0</v>
      </c>
      <c r="F595" s="92">
        <v>0</v>
      </c>
      <c r="G595" s="92">
        <v>0</v>
      </c>
      <c r="H595" s="91">
        <v>0</v>
      </c>
      <c r="I595" s="91">
        <v>0</v>
      </c>
      <c r="J595" s="93">
        <v>0</v>
      </c>
      <c r="K595" s="93">
        <v>0</v>
      </c>
      <c r="L595" s="93">
        <v>0</v>
      </c>
      <c r="M595" s="93">
        <v>0</v>
      </c>
      <c r="N595" s="94">
        <v>0</v>
      </c>
      <c r="O595" s="94" t="str">
        <v/>
      </c>
      <c r="P595" s="93">
        <v>0</v>
      </c>
      <c r="Q595" s="92">
        <v>0</v>
      </c>
    </row>
    <row r="596" spans="2:17" x14ac:dyDescent="0.25">
      <c r="B596" s="92">
        <v>0</v>
      </c>
      <c r="C596" s="90">
        <v>0</v>
      </c>
      <c r="D596" s="91">
        <v>0</v>
      </c>
      <c r="E596" s="92">
        <v>0</v>
      </c>
      <c r="F596" s="92">
        <v>0</v>
      </c>
      <c r="G596" s="92">
        <v>0</v>
      </c>
      <c r="H596" s="91">
        <v>0</v>
      </c>
      <c r="I596" s="91">
        <v>0</v>
      </c>
      <c r="J596" s="93">
        <v>0</v>
      </c>
      <c r="K596" s="93">
        <v>0</v>
      </c>
      <c r="L596" s="93">
        <v>0</v>
      </c>
      <c r="M596" s="93">
        <v>0</v>
      </c>
      <c r="N596" s="94">
        <v>0</v>
      </c>
      <c r="O596" s="94" t="str">
        <v/>
      </c>
      <c r="P596" s="93">
        <v>0</v>
      </c>
      <c r="Q596" s="92">
        <v>0</v>
      </c>
    </row>
    <row r="597" spans="2:17" x14ac:dyDescent="0.25">
      <c r="B597" s="92">
        <v>0</v>
      </c>
      <c r="C597" s="90">
        <v>0</v>
      </c>
      <c r="D597" s="91">
        <v>0</v>
      </c>
      <c r="E597" s="92">
        <v>0</v>
      </c>
      <c r="F597" s="92">
        <v>0</v>
      </c>
      <c r="G597" s="92">
        <v>0</v>
      </c>
      <c r="H597" s="91">
        <v>0</v>
      </c>
      <c r="I597" s="91">
        <v>0</v>
      </c>
      <c r="J597" s="93">
        <v>0</v>
      </c>
      <c r="K597" s="93">
        <v>0</v>
      </c>
      <c r="L597" s="93">
        <v>0</v>
      </c>
      <c r="M597" s="93">
        <v>0</v>
      </c>
      <c r="N597" s="94">
        <v>0</v>
      </c>
      <c r="O597" s="94" t="str">
        <v/>
      </c>
      <c r="P597" s="93">
        <v>0</v>
      </c>
      <c r="Q597" s="92">
        <v>0</v>
      </c>
    </row>
    <row r="598" spans="2:17" x14ac:dyDescent="0.25">
      <c r="B598" s="92">
        <v>0</v>
      </c>
      <c r="C598" s="90">
        <v>0</v>
      </c>
      <c r="D598" s="91">
        <v>0</v>
      </c>
      <c r="E598" s="92">
        <v>0</v>
      </c>
      <c r="F598" s="92">
        <v>0</v>
      </c>
      <c r="G598" s="92">
        <v>0</v>
      </c>
      <c r="H598" s="91">
        <v>0</v>
      </c>
      <c r="I598" s="91">
        <v>0</v>
      </c>
      <c r="J598" s="93">
        <v>0</v>
      </c>
      <c r="K598" s="93">
        <v>0</v>
      </c>
      <c r="L598" s="93">
        <v>0</v>
      </c>
      <c r="M598" s="93">
        <v>0</v>
      </c>
      <c r="N598" s="94">
        <v>0</v>
      </c>
      <c r="O598" s="94" t="str">
        <v/>
      </c>
      <c r="P598" s="93">
        <v>0</v>
      </c>
      <c r="Q598" s="92">
        <v>0</v>
      </c>
    </row>
    <row r="599" spans="2:17" x14ac:dyDescent="0.25">
      <c r="B599" s="92">
        <v>0</v>
      </c>
      <c r="C599" s="90">
        <v>0</v>
      </c>
      <c r="D599" s="91">
        <v>0</v>
      </c>
      <c r="E599" s="92">
        <v>0</v>
      </c>
      <c r="F599" s="92">
        <v>0</v>
      </c>
      <c r="G599" s="92">
        <v>0</v>
      </c>
      <c r="H599" s="91">
        <v>0</v>
      </c>
      <c r="I599" s="91">
        <v>0</v>
      </c>
      <c r="J599" s="93">
        <v>0</v>
      </c>
      <c r="K599" s="93">
        <v>0</v>
      </c>
      <c r="L599" s="93">
        <v>0</v>
      </c>
      <c r="M599" s="93">
        <v>0</v>
      </c>
      <c r="N599" s="94">
        <v>0</v>
      </c>
      <c r="O599" s="94" t="str">
        <v/>
      </c>
      <c r="P599" s="93">
        <v>0</v>
      </c>
      <c r="Q599" s="92">
        <v>0</v>
      </c>
    </row>
    <row r="600" spans="2:17" x14ac:dyDescent="0.25">
      <c r="B600" s="92">
        <v>0</v>
      </c>
      <c r="C600" s="90">
        <v>0</v>
      </c>
      <c r="D600" s="91">
        <v>0</v>
      </c>
      <c r="E600" s="92">
        <v>0</v>
      </c>
      <c r="F600" s="92">
        <v>0</v>
      </c>
      <c r="G600" s="92">
        <v>0</v>
      </c>
      <c r="H600" s="91">
        <v>0</v>
      </c>
      <c r="I600" s="91">
        <v>0</v>
      </c>
      <c r="J600" s="93">
        <v>0</v>
      </c>
      <c r="K600" s="93">
        <v>0</v>
      </c>
      <c r="L600" s="93">
        <v>0</v>
      </c>
      <c r="M600" s="93">
        <v>0</v>
      </c>
      <c r="N600" s="94">
        <v>0</v>
      </c>
      <c r="O600" s="94" t="str">
        <v/>
      </c>
      <c r="P600" s="93">
        <v>0</v>
      </c>
      <c r="Q600" s="92">
        <v>0</v>
      </c>
    </row>
    <row r="601" spans="2:17" x14ac:dyDescent="0.25">
      <c r="B601" s="92">
        <v>0</v>
      </c>
      <c r="C601" s="90">
        <v>0</v>
      </c>
      <c r="D601" s="91">
        <v>0</v>
      </c>
      <c r="E601" s="92">
        <v>0</v>
      </c>
      <c r="F601" s="92">
        <v>0</v>
      </c>
      <c r="G601" s="92">
        <v>0</v>
      </c>
      <c r="H601" s="91">
        <v>0</v>
      </c>
      <c r="I601" s="91">
        <v>0</v>
      </c>
      <c r="J601" s="93">
        <v>0</v>
      </c>
      <c r="K601" s="93">
        <v>0</v>
      </c>
      <c r="L601" s="93">
        <v>0</v>
      </c>
      <c r="M601" s="93">
        <v>0</v>
      </c>
      <c r="N601" s="94">
        <v>0</v>
      </c>
      <c r="O601" s="94" t="str">
        <v/>
      </c>
      <c r="P601" s="93">
        <v>0</v>
      </c>
      <c r="Q601" s="92">
        <v>0</v>
      </c>
    </row>
    <row r="602" spans="2:17" x14ac:dyDescent="0.25">
      <c r="B602" s="92">
        <v>0</v>
      </c>
      <c r="C602" s="90">
        <v>0</v>
      </c>
      <c r="D602" s="91">
        <v>0</v>
      </c>
      <c r="E602" s="92">
        <v>0</v>
      </c>
      <c r="F602" s="92">
        <v>0</v>
      </c>
      <c r="G602" s="92">
        <v>0</v>
      </c>
      <c r="H602" s="91">
        <v>0</v>
      </c>
      <c r="I602" s="91">
        <v>0</v>
      </c>
      <c r="J602" s="93">
        <v>0</v>
      </c>
      <c r="K602" s="93">
        <v>0</v>
      </c>
      <c r="L602" s="93">
        <v>0</v>
      </c>
      <c r="M602" s="93">
        <v>0</v>
      </c>
      <c r="N602" s="94">
        <v>0</v>
      </c>
      <c r="O602" s="94" t="str">
        <v/>
      </c>
      <c r="P602" s="93">
        <v>0</v>
      </c>
      <c r="Q602" s="92">
        <v>0</v>
      </c>
    </row>
    <row r="603" spans="2:17" x14ac:dyDescent="0.25">
      <c r="B603" s="92">
        <v>0</v>
      </c>
      <c r="C603" s="90">
        <v>0</v>
      </c>
      <c r="D603" s="91">
        <v>0</v>
      </c>
      <c r="E603" s="92">
        <v>0</v>
      </c>
      <c r="F603" s="92">
        <v>0</v>
      </c>
      <c r="G603" s="92">
        <v>0</v>
      </c>
      <c r="H603" s="91">
        <v>0</v>
      </c>
      <c r="I603" s="91">
        <v>0</v>
      </c>
      <c r="J603" s="93">
        <v>0</v>
      </c>
      <c r="K603" s="93">
        <v>0</v>
      </c>
      <c r="L603" s="93">
        <v>0</v>
      </c>
      <c r="M603" s="93">
        <v>0</v>
      </c>
      <c r="N603" s="94">
        <v>0</v>
      </c>
      <c r="O603" s="94" t="str">
        <v/>
      </c>
      <c r="P603" s="93">
        <v>0</v>
      </c>
      <c r="Q603" s="92">
        <v>0</v>
      </c>
    </row>
    <row r="604" spans="2:17" x14ac:dyDescent="0.25">
      <c r="B604" s="92">
        <v>0</v>
      </c>
      <c r="C604" s="90">
        <v>0</v>
      </c>
      <c r="D604" s="91">
        <v>0</v>
      </c>
      <c r="E604" s="92">
        <v>0</v>
      </c>
      <c r="F604" s="92">
        <v>0</v>
      </c>
      <c r="G604" s="92">
        <v>0</v>
      </c>
      <c r="H604" s="91">
        <v>0</v>
      </c>
      <c r="I604" s="91">
        <v>0</v>
      </c>
      <c r="J604" s="93">
        <v>0</v>
      </c>
      <c r="K604" s="93">
        <v>0</v>
      </c>
      <c r="L604" s="93">
        <v>0</v>
      </c>
      <c r="M604" s="93">
        <v>0</v>
      </c>
      <c r="N604" s="94">
        <v>0</v>
      </c>
      <c r="O604" s="94" t="str">
        <v/>
      </c>
      <c r="P604" s="93">
        <v>0</v>
      </c>
      <c r="Q604" s="92">
        <v>0</v>
      </c>
    </row>
    <row r="605" spans="2:17" x14ac:dyDescent="0.25">
      <c r="B605" s="92">
        <v>0</v>
      </c>
      <c r="C605" s="90">
        <v>0</v>
      </c>
      <c r="D605" s="91">
        <v>0</v>
      </c>
      <c r="E605" s="92">
        <v>0</v>
      </c>
      <c r="F605" s="92">
        <v>0</v>
      </c>
      <c r="G605" s="92">
        <v>0</v>
      </c>
      <c r="H605" s="91">
        <v>0</v>
      </c>
      <c r="I605" s="91">
        <v>0</v>
      </c>
      <c r="J605" s="93">
        <v>0</v>
      </c>
      <c r="K605" s="93">
        <v>0</v>
      </c>
      <c r="L605" s="93">
        <v>0</v>
      </c>
      <c r="M605" s="93">
        <v>0</v>
      </c>
      <c r="N605" s="94">
        <v>0</v>
      </c>
      <c r="O605" s="94" t="str">
        <v/>
      </c>
      <c r="P605" s="93">
        <v>0</v>
      </c>
      <c r="Q605" s="92">
        <v>0</v>
      </c>
    </row>
    <row r="606" spans="2:17" x14ac:dyDescent="0.25">
      <c r="B606" s="92">
        <v>0</v>
      </c>
      <c r="C606" s="90">
        <v>0</v>
      </c>
      <c r="D606" s="91">
        <v>0</v>
      </c>
      <c r="E606" s="92">
        <v>0</v>
      </c>
      <c r="F606" s="92">
        <v>0</v>
      </c>
      <c r="G606" s="92">
        <v>0</v>
      </c>
      <c r="H606" s="91">
        <v>0</v>
      </c>
      <c r="I606" s="91">
        <v>0</v>
      </c>
      <c r="J606" s="93">
        <v>0</v>
      </c>
      <c r="K606" s="93">
        <v>0</v>
      </c>
      <c r="L606" s="93">
        <v>0</v>
      </c>
      <c r="M606" s="93">
        <v>0</v>
      </c>
      <c r="N606" s="94">
        <v>0</v>
      </c>
      <c r="O606" s="94" t="str">
        <v/>
      </c>
      <c r="P606" s="93">
        <v>0</v>
      </c>
      <c r="Q606" s="92">
        <v>0</v>
      </c>
    </row>
    <row r="607" spans="2:17" x14ac:dyDescent="0.25">
      <c r="B607" s="92">
        <v>0</v>
      </c>
      <c r="C607" s="90">
        <v>0</v>
      </c>
      <c r="D607" s="91">
        <v>0</v>
      </c>
      <c r="E607" s="92">
        <v>0</v>
      </c>
      <c r="F607" s="92">
        <v>0</v>
      </c>
      <c r="G607" s="92">
        <v>0</v>
      </c>
      <c r="H607" s="91">
        <v>0</v>
      </c>
      <c r="I607" s="91">
        <v>0</v>
      </c>
      <c r="J607" s="93">
        <v>0</v>
      </c>
      <c r="K607" s="93">
        <v>0</v>
      </c>
      <c r="L607" s="93">
        <v>0</v>
      </c>
      <c r="M607" s="93">
        <v>0</v>
      </c>
      <c r="N607" s="94">
        <v>0</v>
      </c>
      <c r="O607" s="94" t="str">
        <v/>
      </c>
      <c r="P607" s="93">
        <v>0</v>
      </c>
      <c r="Q607" s="92">
        <v>0</v>
      </c>
    </row>
    <row r="608" spans="2:17" x14ac:dyDescent="0.25">
      <c r="B608" s="92">
        <v>0</v>
      </c>
      <c r="C608" s="90">
        <v>0</v>
      </c>
      <c r="D608" s="91">
        <v>0</v>
      </c>
      <c r="E608" s="92">
        <v>0</v>
      </c>
      <c r="F608" s="92">
        <v>0</v>
      </c>
      <c r="G608" s="92">
        <v>0</v>
      </c>
      <c r="H608" s="91">
        <v>0</v>
      </c>
      <c r="I608" s="91">
        <v>0</v>
      </c>
      <c r="J608" s="93">
        <v>0</v>
      </c>
      <c r="K608" s="93">
        <v>0</v>
      </c>
      <c r="L608" s="93">
        <v>0</v>
      </c>
      <c r="M608" s="93">
        <v>0</v>
      </c>
      <c r="N608" s="94">
        <v>0</v>
      </c>
      <c r="O608" s="94" t="str">
        <v/>
      </c>
      <c r="P608" s="93">
        <v>0</v>
      </c>
      <c r="Q608" s="92">
        <v>0</v>
      </c>
    </row>
    <row r="609" spans="2:17" x14ac:dyDescent="0.25">
      <c r="B609" s="92">
        <v>0</v>
      </c>
      <c r="C609" s="90">
        <v>0</v>
      </c>
      <c r="D609" s="91">
        <v>0</v>
      </c>
      <c r="E609" s="92">
        <v>0</v>
      </c>
      <c r="F609" s="92">
        <v>0</v>
      </c>
      <c r="G609" s="92">
        <v>0</v>
      </c>
      <c r="H609" s="91">
        <v>0</v>
      </c>
      <c r="I609" s="91">
        <v>0</v>
      </c>
      <c r="J609" s="93">
        <v>0</v>
      </c>
      <c r="K609" s="93">
        <v>0</v>
      </c>
      <c r="L609" s="93">
        <v>0</v>
      </c>
      <c r="M609" s="93">
        <v>0</v>
      </c>
      <c r="N609" s="94">
        <v>0</v>
      </c>
      <c r="O609" s="94" t="str">
        <v/>
      </c>
      <c r="P609" s="93">
        <v>0</v>
      </c>
      <c r="Q609" s="92">
        <v>0</v>
      </c>
    </row>
    <row r="610" spans="2:17" x14ac:dyDescent="0.25">
      <c r="B610" s="92">
        <v>0</v>
      </c>
      <c r="C610" s="90">
        <v>0</v>
      </c>
      <c r="D610" s="91">
        <v>0</v>
      </c>
      <c r="E610" s="92">
        <v>0</v>
      </c>
      <c r="F610" s="92">
        <v>0</v>
      </c>
      <c r="G610" s="92">
        <v>0</v>
      </c>
      <c r="H610" s="91">
        <v>0</v>
      </c>
      <c r="I610" s="91">
        <v>0</v>
      </c>
      <c r="J610" s="93">
        <v>0</v>
      </c>
      <c r="K610" s="93">
        <v>0</v>
      </c>
      <c r="L610" s="93">
        <v>0</v>
      </c>
      <c r="M610" s="93">
        <v>0</v>
      </c>
      <c r="N610" s="94">
        <v>0</v>
      </c>
      <c r="O610" s="94" t="str">
        <v/>
      </c>
      <c r="P610" s="93">
        <v>0</v>
      </c>
      <c r="Q610" s="92">
        <v>0</v>
      </c>
    </row>
    <row r="611" spans="2:17" x14ac:dyDescent="0.25">
      <c r="B611" s="92">
        <v>0</v>
      </c>
      <c r="C611" s="90">
        <v>0</v>
      </c>
      <c r="D611" s="91">
        <v>0</v>
      </c>
      <c r="E611" s="92">
        <v>0</v>
      </c>
      <c r="F611" s="92">
        <v>0</v>
      </c>
      <c r="G611" s="92">
        <v>0</v>
      </c>
      <c r="H611" s="91">
        <v>0</v>
      </c>
      <c r="I611" s="91">
        <v>0</v>
      </c>
      <c r="J611" s="93">
        <v>0</v>
      </c>
      <c r="K611" s="93">
        <v>0</v>
      </c>
      <c r="L611" s="93">
        <v>0</v>
      </c>
      <c r="M611" s="93">
        <v>0</v>
      </c>
      <c r="N611" s="94">
        <v>0</v>
      </c>
      <c r="O611" s="94" t="str">
        <v/>
      </c>
      <c r="P611" s="93">
        <v>0</v>
      </c>
      <c r="Q611" s="92">
        <v>0</v>
      </c>
    </row>
    <row r="612" spans="2:17" x14ac:dyDescent="0.25">
      <c r="B612" s="92">
        <v>0</v>
      </c>
      <c r="C612" s="90">
        <v>0</v>
      </c>
      <c r="D612" s="91">
        <v>0</v>
      </c>
      <c r="E612" s="92">
        <v>0</v>
      </c>
      <c r="F612" s="92">
        <v>0</v>
      </c>
      <c r="G612" s="92">
        <v>0</v>
      </c>
      <c r="H612" s="91">
        <v>0</v>
      </c>
      <c r="I612" s="91">
        <v>0</v>
      </c>
      <c r="J612" s="93">
        <v>0</v>
      </c>
      <c r="K612" s="93">
        <v>0</v>
      </c>
      <c r="L612" s="93">
        <v>0</v>
      </c>
      <c r="M612" s="93">
        <v>0</v>
      </c>
      <c r="N612" s="94">
        <v>0</v>
      </c>
      <c r="O612" s="94" t="str">
        <v/>
      </c>
      <c r="P612" s="93">
        <v>0</v>
      </c>
      <c r="Q612" s="92">
        <v>0</v>
      </c>
    </row>
    <row r="613" spans="2:17" x14ac:dyDescent="0.25">
      <c r="B613" s="92">
        <v>0</v>
      </c>
      <c r="C613" s="90">
        <v>0</v>
      </c>
      <c r="D613" s="91">
        <v>0</v>
      </c>
      <c r="E613" s="92">
        <v>0</v>
      </c>
      <c r="F613" s="92">
        <v>0</v>
      </c>
      <c r="G613" s="92">
        <v>0</v>
      </c>
      <c r="H613" s="91">
        <v>0</v>
      </c>
      <c r="I613" s="91">
        <v>0</v>
      </c>
      <c r="J613" s="93">
        <v>0</v>
      </c>
      <c r="K613" s="93">
        <v>0</v>
      </c>
      <c r="L613" s="93">
        <v>0</v>
      </c>
      <c r="M613" s="93">
        <v>0</v>
      </c>
      <c r="N613" s="94">
        <v>0</v>
      </c>
      <c r="O613" s="94" t="str">
        <v/>
      </c>
      <c r="P613" s="93">
        <v>0</v>
      </c>
      <c r="Q613" s="92">
        <v>0</v>
      </c>
    </row>
    <row r="614" spans="2:17" x14ac:dyDescent="0.25">
      <c r="B614" s="92">
        <v>0</v>
      </c>
      <c r="C614" s="90">
        <v>0</v>
      </c>
      <c r="D614" s="91">
        <v>0</v>
      </c>
      <c r="E614" s="92">
        <v>0</v>
      </c>
      <c r="F614" s="92">
        <v>0</v>
      </c>
      <c r="G614" s="92">
        <v>0</v>
      </c>
      <c r="H614" s="91">
        <v>0</v>
      </c>
      <c r="I614" s="91">
        <v>0</v>
      </c>
      <c r="J614" s="93">
        <v>0</v>
      </c>
      <c r="K614" s="93">
        <v>0</v>
      </c>
      <c r="L614" s="93">
        <v>0</v>
      </c>
      <c r="M614" s="93">
        <v>0</v>
      </c>
      <c r="N614" s="94">
        <v>0</v>
      </c>
      <c r="O614" s="94" t="str">
        <v/>
      </c>
      <c r="P614" s="93">
        <v>0</v>
      </c>
      <c r="Q614" s="92">
        <v>0</v>
      </c>
    </row>
    <row r="615" spans="2:17" x14ac:dyDescent="0.25">
      <c r="B615" s="92">
        <v>0</v>
      </c>
      <c r="C615" s="90">
        <v>0</v>
      </c>
      <c r="D615" s="91">
        <v>0</v>
      </c>
      <c r="E615" s="92">
        <v>0</v>
      </c>
      <c r="F615" s="92">
        <v>0</v>
      </c>
      <c r="G615" s="92">
        <v>0</v>
      </c>
      <c r="H615" s="91">
        <v>0</v>
      </c>
      <c r="I615" s="91">
        <v>0</v>
      </c>
      <c r="J615" s="93">
        <v>0</v>
      </c>
      <c r="K615" s="93">
        <v>0</v>
      </c>
      <c r="L615" s="93">
        <v>0</v>
      </c>
      <c r="M615" s="93">
        <v>0</v>
      </c>
      <c r="N615" s="94">
        <v>0</v>
      </c>
      <c r="O615" s="94" t="str">
        <v/>
      </c>
      <c r="P615" s="93">
        <v>0</v>
      </c>
      <c r="Q615" s="92">
        <v>0</v>
      </c>
    </row>
    <row r="616" spans="2:17" x14ac:dyDescent="0.25">
      <c r="B616" s="92">
        <v>0</v>
      </c>
      <c r="C616" s="90">
        <v>0</v>
      </c>
      <c r="D616" s="91">
        <v>0</v>
      </c>
      <c r="E616" s="92">
        <v>0</v>
      </c>
      <c r="F616" s="92">
        <v>0</v>
      </c>
      <c r="G616" s="92">
        <v>0</v>
      </c>
      <c r="H616" s="91">
        <v>0</v>
      </c>
      <c r="I616" s="91">
        <v>0</v>
      </c>
      <c r="J616" s="93">
        <v>0</v>
      </c>
      <c r="K616" s="93">
        <v>0</v>
      </c>
      <c r="L616" s="93">
        <v>0</v>
      </c>
      <c r="M616" s="93">
        <v>0</v>
      </c>
      <c r="N616" s="94">
        <v>0</v>
      </c>
      <c r="O616" s="94" t="str">
        <v/>
      </c>
      <c r="P616" s="93">
        <v>0</v>
      </c>
      <c r="Q616" s="92">
        <v>0</v>
      </c>
    </row>
    <row r="617" spans="2:17" x14ac:dyDescent="0.25">
      <c r="B617" s="92">
        <v>0</v>
      </c>
      <c r="C617" s="90">
        <v>0</v>
      </c>
      <c r="D617" s="91">
        <v>0</v>
      </c>
      <c r="E617" s="92">
        <v>0</v>
      </c>
      <c r="F617" s="92">
        <v>0</v>
      </c>
      <c r="G617" s="92">
        <v>0</v>
      </c>
      <c r="H617" s="91">
        <v>0</v>
      </c>
      <c r="I617" s="91">
        <v>0</v>
      </c>
      <c r="J617" s="93">
        <v>0</v>
      </c>
      <c r="K617" s="93">
        <v>0</v>
      </c>
      <c r="L617" s="93">
        <v>0</v>
      </c>
      <c r="M617" s="93">
        <v>0</v>
      </c>
      <c r="N617" s="94">
        <v>0</v>
      </c>
      <c r="O617" s="94" t="str">
        <v/>
      </c>
      <c r="P617" s="93">
        <v>0</v>
      </c>
      <c r="Q617" s="92">
        <v>0</v>
      </c>
    </row>
    <row r="618" spans="2:17" x14ac:dyDescent="0.25">
      <c r="B618" s="92">
        <v>0</v>
      </c>
      <c r="C618" s="90">
        <v>0</v>
      </c>
      <c r="D618" s="91">
        <v>0</v>
      </c>
      <c r="E618" s="92">
        <v>0</v>
      </c>
      <c r="F618" s="92">
        <v>0</v>
      </c>
      <c r="G618" s="92">
        <v>0</v>
      </c>
      <c r="H618" s="91">
        <v>0</v>
      </c>
      <c r="I618" s="91">
        <v>0</v>
      </c>
      <c r="J618" s="93">
        <v>0</v>
      </c>
      <c r="K618" s="93">
        <v>0</v>
      </c>
      <c r="L618" s="93">
        <v>0</v>
      </c>
      <c r="M618" s="93">
        <v>0</v>
      </c>
      <c r="N618" s="94">
        <v>0</v>
      </c>
      <c r="O618" s="94" t="str">
        <v/>
      </c>
      <c r="P618" s="93">
        <v>0</v>
      </c>
      <c r="Q618" s="92">
        <v>0</v>
      </c>
    </row>
    <row r="619" spans="2:17" x14ac:dyDescent="0.25">
      <c r="B619" s="92">
        <v>0</v>
      </c>
      <c r="C619" s="90">
        <v>0</v>
      </c>
      <c r="D619" s="91">
        <v>0</v>
      </c>
      <c r="E619" s="92">
        <v>0</v>
      </c>
      <c r="F619" s="92">
        <v>0</v>
      </c>
      <c r="G619" s="92">
        <v>0</v>
      </c>
      <c r="H619" s="91">
        <v>0</v>
      </c>
      <c r="I619" s="91">
        <v>0</v>
      </c>
      <c r="J619" s="93">
        <v>0</v>
      </c>
      <c r="K619" s="93">
        <v>0</v>
      </c>
      <c r="L619" s="93">
        <v>0</v>
      </c>
      <c r="M619" s="93">
        <v>0</v>
      </c>
      <c r="N619" s="94">
        <v>0</v>
      </c>
      <c r="O619" s="94" t="str">
        <v/>
      </c>
      <c r="P619" s="93">
        <v>0</v>
      </c>
      <c r="Q619" s="92">
        <v>0</v>
      </c>
    </row>
    <row r="620" spans="2:17" x14ac:dyDescent="0.25">
      <c r="B620" s="92">
        <v>0</v>
      </c>
      <c r="C620" s="90">
        <v>0</v>
      </c>
      <c r="D620" s="91">
        <v>0</v>
      </c>
      <c r="E620" s="92">
        <v>0</v>
      </c>
      <c r="F620" s="92">
        <v>0</v>
      </c>
      <c r="G620" s="92">
        <v>0</v>
      </c>
      <c r="H620" s="91">
        <v>0</v>
      </c>
      <c r="I620" s="91">
        <v>0</v>
      </c>
      <c r="J620" s="93">
        <v>0</v>
      </c>
      <c r="K620" s="93">
        <v>0</v>
      </c>
      <c r="L620" s="93">
        <v>0</v>
      </c>
      <c r="M620" s="93">
        <v>0</v>
      </c>
      <c r="N620" s="94">
        <v>0</v>
      </c>
      <c r="O620" s="94" t="str">
        <v/>
      </c>
      <c r="P620" s="93">
        <v>0</v>
      </c>
      <c r="Q620" s="92">
        <v>0</v>
      </c>
    </row>
    <row r="621" spans="2:17" x14ac:dyDescent="0.25">
      <c r="B621" s="92">
        <v>0</v>
      </c>
      <c r="C621" s="90">
        <v>0</v>
      </c>
      <c r="D621" s="91">
        <v>0</v>
      </c>
      <c r="E621" s="92">
        <v>0</v>
      </c>
      <c r="F621" s="92">
        <v>0</v>
      </c>
      <c r="G621" s="92">
        <v>0</v>
      </c>
      <c r="H621" s="91">
        <v>0</v>
      </c>
      <c r="I621" s="91">
        <v>0</v>
      </c>
      <c r="J621" s="93">
        <v>0</v>
      </c>
      <c r="K621" s="93">
        <v>0</v>
      </c>
      <c r="L621" s="93">
        <v>0</v>
      </c>
      <c r="M621" s="93">
        <v>0</v>
      </c>
      <c r="N621" s="94">
        <v>0</v>
      </c>
      <c r="O621" s="94" t="str">
        <v/>
      </c>
      <c r="P621" s="93">
        <v>0</v>
      </c>
      <c r="Q621" s="92">
        <v>0</v>
      </c>
    </row>
    <row r="622" spans="2:17" x14ac:dyDescent="0.25">
      <c r="B622" s="92">
        <v>0</v>
      </c>
      <c r="C622" s="90">
        <v>0</v>
      </c>
      <c r="D622" s="91">
        <v>0</v>
      </c>
      <c r="E622" s="92">
        <v>0</v>
      </c>
      <c r="F622" s="92">
        <v>0</v>
      </c>
      <c r="G622" s="92">
        <v>0</v>
      </c>
      <c r="H622" s="91">
        <v>0</v>
      </c>
      <c r="I622" s="91">
        <v>0</v>
      </c>
      <c r="J622" s="93">
        <v>0</v>
      </c>
      <c r="K622" s="93">
        <v>0</v>
      </c>
      <c r="L622" s="93">
        <v>0</v>
      </c>
      <c r="M622" s="93">
        <v>0</v>
      </c>
      <c r="N622" s="94">
        <v>0</v>
      </c>
      <c r="O622" s="94" t="str">
        <v/>
      </c>
      <c r="P622" s="93">
        <v>0</v>
      </c>
      <c r="Q622" s="92">
        <v>0</v>
      </c>
    </row>
    <row r="623" spans="2:17" x14ac:dyDescent="0.25">
      <c r="B623" s="92">
        <v>0</v>
      </c>
      <c r="C623" s="90">
        <v>0</v>
      </c>
      <c r="D623" s="91">
        <v>0</v>
      </c>
      <c r="E623" s="92">
        <v>0</v>
      </c>
      <c r="F623" s="92">
        <v>0</v>
      </c>
      <c r="G623" s="92">
        <v>0</v>
      </c>
      <c r="H623" s="91">
        <v>0</v>
      </c>
      <c r="I623" s="91">
        <v>0</v>
      </c>
      <c r="J623" s="93">
        <v>0</v>
      </c>
      <c r="K623" s="93">
        <v>0</v>
      </c>
      <c r="L623" s="93">
        <v>0</v>
      </c>
      <c r="M623" s="93">
        <v>0</v>
      </c>
      <c r="N623" s="94">
        <v>0</v>
      </c>
      <c r="O623" s="94" t="str">
        <v/>
      </c>
      <c r="P623" s="93">
        <v>0</v>
      </c>
      <c r="Q623" s="92">
        <v>0</v>
      </c>
    </row>
    <row r="624" spans="2:17" x14ac:dyDescent="0.25">
      <c r="B624" s="92">
        <v>0</v>
      </c>
      <c r="C624" s="90">
        <v>0</v>
      </c>
      <c r="D624" s="91">
        <v>0</v>
      </c>
      <c r="E624" s="92">
        <v>0</v>
      </c>
      <c r="F624" s="92">
        <v>0</v>
      </c>
      <c r="G624" s="92">
        <v>0</v>
      </c>
      <c r="H624" s="91">
        <v>0</v>
      </c>
      <c r="I624" s="91">
        <v>0</v>
      </c>
      <c r="J624" s="93">
        <v>0</v>
      </c>
      <c r="K624" s="93">
        <v>0</v>
      </c>
      <c r="L624" s="93">
        <v>0</v>
      </c>
      <c r="M624" s="93">
        <v>0</v>
      </c>
      <c r="N624" s="94">
        <v>0</v>
      </c>
      <c r="O624" s="94" t="str">
        <v/>
      </c>
      <c r="P624" s="93">
        <v>0</v>
      </c>
      <c r="Q624" s="92">
        <v>0</v>
      </c>
    </row>
    <row r="625" spans="2:17" x14ac:dyDescent="0.25">
      <c r="B625" s="92">
        <v>0</v>
      </c>
      <c r="C625" s="90">
        <v>0</v>
      </c>
      <c r="D625" s="91">
        <v>0</v>
      </c>
      <c r="E625" s="92">
        <v>0</v>
      </c>
      <c r="F625" s="92">
        <v>0</v>
      </c>
      <c r="G625" s="92">
        <v>0</v>
      </c>
      <c r="H625" s="91">
        <v>0</v>
      </c>
      <c r="I625" s="91">
        <v>0</v>
      </c>
      <c r="J625" s="93">
        <v>0</v>
      </c>
      <c r="K625" s="93">
        <v>0</v>
      </c>
      <c r="L625" s="93">
        <v>0</v>
      </c>
      <c r="M625" s="93">
        <v>0</v>
      </c>
      <c r="N625" s="94">
        <v>0</v>
      </c>
      <c r="O625" s="94" t="str">
        <v/>
      </c>
      <c r="P625" s="93">
        <v>0</v>
      </c>
      <c r="Q625" s="92">
        <v>0</v>
      </c>
    </row>
    <row r="626" spans="2:17" x14ac:dyDescent="0.25">
      <c r="B626" s="92">
        <v>0</v>
      </c>
      <c r="C626" s="90">
        <v>0</v>
      </c>
      <c r="D626" s="91">
        <v>0</v>
      </c>
      <c r="E626" s="92">
        <v>0</v>
      </c>
      <c r="F626" s="92">
        <v>0</v>
      </c>
      <c r="G626" s="92">
        <v>0</v>
      </c>
      <c r="H626" s="91">
        <v>0</v>
      </c>
      <c r="I626" s="91">
        <v>0</v>
      </c>
      <c r="J626" s="93">
        <v>0</v>
      </c>
      <c r="K626" s="93">
        <v>0</v>
      </c>
      <c r="L626" s="93">
        <v>0</v>
      </c>
      <c r="M626" s="93">
        <v>0</v>
      </c>
      <c r="N626" s="94">
        <v>0</v>
      </c>
      <c r="O626" s="94" t="str">
        <v/>
      </c>
      <c r="P626" s="93">
        <v>0</v>
      </c>
      <c r="Q626" s="92">
        <v>0</v>
      </c>
    </row>
    <row r="627" spans="2:17" x14ac:dyDescent="0.25">
      <c r="B627" s="92">
        <v>0</v>
      </c>
      <c r="C627" s="90">
        <v>0</v>
      </c>
      <c r="D627" s="91">
        <v>0</v>
      </c>
      <c r="E627" s="92">
        <v>0</v>
      </c>
      <c r="F627" s="92">
        <v>0</v>
      </c>
      <c r="G627" s="92">
        <v>0</v>
      </c>
      <c r="H627" s="91">
        <v>0</v>
      </c>
      <c r="I627" s="91">
        <v>0</v>
      </c>
      <c r="J627" s="93">
        <v>0</v>
      </c>
      <c r="K627" s="93">
        <v>0</v>
      </c>
      <c r="L627" s="93">
        <v>0</v>
      </c>
      <c r="M627" s="93">
        <v>0</v>
      </c>
      <c r="N627" s="94">
        <v>0</v>
      </c>
      <c r="O627" s="94" t="str">
        <v/>
      </c>
      <c r="P627" s="93">
        <v>0</v>
      </c>
      <c r="Q627" s="92">
        <v>0</v>
      </c>
    </row>
    <row r="628" spans="2:17" x14ac:dyDescent="0.25">
      <c r="B628" s="92">
        <v>0</v>
      </c>
      <c r="C628" s="90">
        <v>0</v>
      </c>
      <c r="D628" s="91">
        <v>0</v>
      </c>
      <c r="E628" s="92">
        <v>0</v>
      </c>
      <c r="F628" s="92">
        <v>0</v>
      </c>
      <c r="G628" s="92">
        <v>0</v>
      </c>
      <c r="H628" s="91">
        <v>0</v>
      </c>
      <c r="I628" s="91">
        <v>0</v>
      </c>
      <c r="J628" s="93">
        <v>0</v>
      </c>
      <c r="K628" s="93">
        <v>0</v>
      </c>
      <c r="L628" s="93">
        <v>0</v>
      </c>
      <c r="M628" s="93">
        <v>0</v>
      </c>
      <c r="N628" s="94">
        <v>0</v>
      </c>
      <c r="O628" s="94" t="str">
        <v/>
      </c>
      <c r="P628" s="93">
        <v>0</v>
      </c>
      <c r="Q628" s="92">
        <v>0</v>
      </c>
    </row>
    <row r="629" spans="2:17" x14ac:dyDescent="0.25">
      <c r="B629" s="92">
        <v>0</v>
      </c>
      <c r="C629" s="90">
        <v>0</v>
      </c>
      <c r="D629" s="91">
        <v>0</v>
      </c>
      <c r="E629" s="92">
        <v>0</v>
      </c>
      <c r="F629" s="92">
        <v>0</v>
      </c>
      <c r="G629" s="92">
        <v>0</v>
      </c>
      <c r="H629" s="91">
        <v>0</v>
      </c>
      <c r="I629" s="91">
        <v>0</v>
      </c>
      <c r="J629" s="93">
        <v>0</v>
      </c>
      <c r="K629" s="93">
        <v>0</v>
      </c>
      <c r="L629" s="93">
        <v>0</v>
      </c>
      <c r="M629" s="93">
        <v>0</v>
      </c>
      <c r="N629" s="94">
        <v>0</v>
      </c>
      <c r="O629" s="94" t="str">
        <v/>
      </c>
      <c r="P629" s="93">
        <v>0</v>
      </c>
      <c r="Q629" s="92">
        <v>0</v>
      </c>
    </row>
    <row r="630" spans="2:17" x14ac:dyDescent="0.25">
      <c r="B630" s="92">
        <v>0</v>
      </c>
      <c r="C630" s="90">
        <v>0</v>
      </c>
      <c r="D630" s="91">
        <v>0</v>
      </c>
      <c r="E630" s="92">
        <v>0</v>
      </c>
      <c r="F630" s="92">
        <v>0</v>
      </c>
      <c r="G630" s="92">
        <v>0</v>
      </c>
      <c r="H630" s="91">
        <v>0</v>
      </c>
      <c r="I630" s="91">
        <v>0</v>
      </c>
      <c r="J630" s="93">
        <v>0</v>
      </c>
      <c r="K630" s="93">
        <v>0</v>
      </c>
      <c r="L630" s="93">
        <v>0</v>
      </c>
      <c r="M630" s="93">
        <v>0</v>
      </c>
      <c r="N630" s="94">
        <v>0</v>
      </c>
      <c r="O630" s="94" t="str">
        <v/>
      </c>
      <c r="P630" s="93">
        <v>0</v>
      </c>
      <c r="Q630" s="92">
        <v>0</v>
      </c>
    </row>
    <row r="631" spans="2:17" x14ac:dyDescent="0.25">
      <c r="B631" s="92">
        <v>0</v>
      </c>
      <c r="C631" s="90">
        <v>0</v>
      </c>
      <c r="D631" s="91">
        <v>0</v>
      </c>
      <c r="E631" s="92">
        <v>0</v>
      </c>
      <c r="F631" s="92">
        <v>0</v>
      </c>
      <c r="G631" s="92">
        <v>0</v>
      </c>
      <c r="H631" s="91">
        <v>0</v>
      </c>
      <c r="I631" s="91">
        <v>0</v>
      </c>
      <c r="J631" s="93">
        <v>0</v>
      </c>
      <c r="K631" s="93">
        <v>0</v>
      </c>
      <c r="L631" s="93">
        <v>0</v>
      </c>
      <c r="M631" s="93">
        <v>0</v>
      </c>
      <c r="N631" s="94">
        <v>0</v>
      </c>
      <c r="O631" s="94" t="str">
        <v/>
      </c>
      <c r="P631" s="93">
        <v>0</v>
      </c>
      <c r="Q631" s="92">
        <v>0</v>
      </c>
    </row>
    <row r="632" spans="2:17" x14ac:dyDescent="0.25">
      <c r="B632" s="92">
        <v>0</v>
      </c>
      <c r="C632" s="90">
        <v>0</v>
      </c>
      <c r="D632" s="91">
        <v>0</v>
      </c>
      <c r="E632" s="92">
        <v>0</v>
      </c>
      <c r="F632" s="92">
        <v>0</v>
      </c>
      <c r="G632" s="92">
        <v>0</v>
      </c>
      <c r="H632" s="91">
        <v>0</v>
      </c>
      <c r="I632" s="91">
        <v>0</v>
      </c>
      <c r="J632" s="93">
        <v>0</v>
      </c>
      <c r="K632" s="93">
        <v>0</v>
      </c>
      <c r="L632" s="93">
        <v>0</v>
      </c>
      <c r="M632" s="93">
        <v>0</v>
      </c>
      <c r="N632" s="94">
        <v>0</v>
      </c>
      <c r="O632" s="94" t="str">
        <v/>
      </c>
      <c r="P632" s="93">
        <v>0</v>
      </c>
      <c r="Q632" s="92">
        <v>0</v>
      </c>
    </row>
    <row r="633" spans="2:17" x14ac:dyDescent="0.25">
      <c r="B633" s="92">
        <v>0</v>
      </c>
      <c r="C633" s="90">
        <v>0</v>
      </c>
      <c r="D633" s="91">
        <v>0</v>
      </c>
      <c r="E633" s="92">
        <v>0</v>
      </c>
      <c r="F633" s="92">
        <v>0</v>
      </c>
      <c r="G633" s="92">
        <v>0</v>
      </c>
      <c r="H633" s="91">
        <v>0</v>
      </c>
      <c r="I633" s="91">
        <v>0</v>
      </c>
      <c r="J633" s="93">
        <v>0</v>
      </c>
      <c r="K633" s="93">
        <v>0</v>
      </c>
      <c r="L633" s="93">
        <v>0</v>
      </c>
      <c r="M633" s="93">
        <v>0</v>
      </c>
      <c r="N633" s="94">
        <v>0</v>
      </c>
      <c r="O633" s="94" t="str">
        <v/>
      </c>
      <c r="P633" s="93">
        <v>0</v>
      </c>
      <c r="Q633" s="92">
        <v>0</v>
      </c>
    </row>
    <row r="634" spans="2:17" x14ac:dyDescent="0.25">
      <c r="B634" s="92">
        <v>0</v>
      </c>
      <c r="C634" s="90">
        <v>0</v>
      </c>
      <c r="D634" s="91">
        <v>0</v>
      </c>
      <c r="E634" s="92">
        <v>0</v>
      </c>
      <c r="F634" s="92">
        <v>0</v>
      </c>
      <c r="G634" s="92">
        <v>0</v>
      </c>
      <c r="H634" s="91">
        <v>0</v>
      </c>
      <c r="I634" s="91">
        <v>0</v>
      </c>
      <c r="J634" s="93">
        <v>0</v>
      </c>
      <c r="K634" s="93">
        <v>0</v>
      </c>
      <c r="L634" s="93">
        <v>0</v>
      </c>
      <c r="M634" s="93">
        <v>0</v>
      </c>
      <c r="N634" s="94">
        <v>0</v>
      </c>
      <c r="O634" s="94" t="str">
        <v/>
      </c>
      <c r="P634" s="93">
        <v>0</v>
      </c>
      <c r="Q634" s="92">
        <v>0</v>
      </c>
    </row>
    <row r="635" spans="2:17" x14ac:dyDescent="0.25">
      <c r="B635" s="92">
        <v>0</v>
      </c>
      <c r="C635" s="90">
        <v>0</v>
      </c>
      <c r="D635" s="91">
        <v>0</v>
      </c>
      <c r="E635" s="92">
        <v>0</v>
      </c>
      <c r="F635" s="92">
        <v>0</v>
      </c>
      <c r="G635" s="92">
        <v>0</v>
      </c>
      <c r="H635" s="91">
        <v>0</v>
      </c>
      <c r="I635" s="91">
        <v>0</v>
      </c>
      <c r="J635" s="93">
        <v>0</v>
      </c>
      <c r="K635" s="93">
        <v>0</v>
      </c>
      <c r="L635" s="93">
        <v>0</v>
      </c>
      <c r="M635" s="93">
        <v>0</v>
      </c>
      <c r="N635" s="94">
        <v>0</v>
      </c>
      <c r="O635" s="94" t="str">
        <v/>
      </c>
      <c r="P635" s="93">
        <v>0</v>
      </c>
      <c r="Q635" s="92">
        <v>0</v>
      </c>
    </row>
    <row r="636" spans="2:17" x14ac:dyDescent="0.25">
      <c r="B636" s="92">
        <v>0</v>
      </c>
      <c r="C636" s="90">
        <v>0</v>
      </c>
      <c r="D636" s="91">
        <v>0</v>
      </c>
      <c r="E636" s="92">
        <v>0</v>
      </c>
      <c r="F636" s="92">
        <v>0</v>
      </c>
      <c r="G636" s="92">
        <v>0</v>
      </c>
      <c r="H636" s="91">
        <v>0</v>
      </c>
      <c r="I636" s="91">
        <v>0</v>
      </c>
      <c r="J636" s="93">
        <v>0</v>
      </c>
      <c r="K636" s="93">
        <v>0</v>
      </c>
      <c r="L636" s="93">
        <v>0</v>
      </c>
      <c r="M636" s="93">
        <v>0</v>
      </c>
      <c r="N636" s="94">
        <v>0</v>
      </c>
      <c r="O636" s="94" t="str">
        <v/>
      </c>
      <c r="P636" s="93">
        <v>0</v>
      </c>
      <c r="Q636" s="92">
        <v>0</v>
      </c>
    </row>
    <row r="637" spans="2:17" x14ac:dyDescent="0.25">
      <c r="B637" s="92">
        <v>0</v>
      </c>
      <c r="C637" s="90">
        <v>0</v>
      </c>
      <c r="D637" s="91">
        <v>0</v>
      </c>
      <c r="E637" s="92">
        <v>0</v>
      </c>
      <c r="F637" s="92">
        <v>0</v>
      </c>
      <c r="G637" s="92">
        <v>0</v>
      </c>
      <c r="H637" s="91">
        <v>0</v>
      </c>
      <c r="I637" s="91">
        <v>0</v>
      </c>
      <c r="J637" s="93">
        <v>0</v>
      </c>
      <c r="K637" s="93">
        <v>0</v>
      </c>
      <c r="L637" s="93">
        <v>0</v>
      </c>
      <c r="M637" s="93">
        <v>0</v>
      </c>
      <c r="N637" s="94">
        <v>0</v>
      </c>
      <c r="O637" s="94" t="str">
        <v/>
      </c>
      <c r="P637" s="93">
        <v>0</v>
      </c>
      <c r="Q637" s="92">
        <v>0</v>
      </c>
    </row>
    <row r="638" spans="2:17" x14ac:dyDescent="0.25">
      <c r="B638" s="92">
        <v>0</v>
      </c>
      <c r="C638" s="90">
        <v>0</v>
      </c>
      <c r="D638" s="91">
        <v>0</v>
      </c>
      <c r="E638" s="92">
        <v>0</v>
      </c>
      <c r="F638" s="92">
        <v>0</v>
      </c>
      <c r="G638" s="92">
        <v>0</v>
      </c>
      <c r="H638" s="91">
        <v>0</v>
      </c>
      <c r="I638" s="91">
        <v>0</v>
      </c>
      <c r="J638" s="93">
        <v>0</v>
      </c>
      <c r="K638" s="93">
        <v>0</v>
      </c>
      <c r="L638" s="93">
        <v>0</v>
      </c>
      <c r="M638" s="93">
        <v>0</v>
      </c>
      <c r="N638" s="94">
        <v>0</v>
      </c>
      <c r="O638" s="94" t="str">
        <v/>
      </c>
      <c r="P638" s="93">
        <v>0</v>
      </c>
      <c r="Q638" s="92">
        <v>0</v>
      </c>
    </row>
    <row r="639" spans="2:17" x14ac:dyDescent="0.25">
      <c r="B639" s="92">
        <v>0</v>
      </c>
      <c r="C639" s="90">
        <v>0</v>
      </c>
      <c r="D639" s="91">
        <v>0</v>
      </c>
      <c r="E639" s="92">
        <v>0</v>
      </c>
      <c r="F639" s="92">
        <v>0</v>
      </c>
      <c r="G639" s="92">
        <v>0</v>
      </c>
      <c r="H639" s="91">
        <v>0</v>
      </c>
      <c r="I639" s="91">
        <v>0</v>
      </c>
      <c r="J639" s="93">
        <v>0</v>
      </c>
      <c r="K639" s="93">
        <v>0</v>
      </c>
      <c r="L639" s="93">
        <v>0</v>
      </c>
      <c r="M639" s="93">
        <v>0</v>
      </c>
      <c r="N639" s="94">
        <v>0</v>
      </c>
      <c r="O639" s="94" t="str">
        <v/>
      </c>
      <c r="P639" s="93">
        <v>0</v>
      </c>
      <c r="Q639" s="92">
        <v>0</v>
      </c>
    </row>
    <row r="640" spans="2:17" x14ac:dyDescent="0.25">
      <c r="B640" s="92">
        <v>0</v>
      </c>
      <c r="C640" s="90">
        <v>0</v>
      </c>
      <c r="D640" s="91">
        <v>0</v>
      </c>
      <c r="E640" s="92">
        <v>0</v>
      </c>
      <c r="F640" s="92">
        <v>0</v>
      </c>
      <c r="G640" s="92">
        <v>0</v>
      </c>
      <c r="H640" s="91">
        <v>0</v>
      </c>
      <c r="I640" s="91">
        <v>0</v>
      </c>
      <c r="J640" s="93">
        <v>0</v>
      </c>
      <c r="K640" s="93">
        <v>0</v>
      </c>
      <c r="L640" s="93">
        <v>0</v>
      </c>
      <c r="M640" s="93">
        <v>0</v>
      </c>
      <c r="N640" s="94">
        <v>0</v>
      </c>
      <c r="O640" s="94" t="str">
        <v/>
      </c>
      <c r="P640" s="93">
        <v>0</v>
      </c>
      <c r="Q640" s="92">
        <v>0</v>
      </c>
    </row>
    <row r="641" spans="2:17" x14ac:dyDescent="0.25">
      <c r="B641" s="92">
        <v>0</v>
      </c>
      <c r="C641" s="90">
        <v>0</v>
      </c>
      <c r="D641" s="91">
        <v>0</v>
      </c>
      <c r="E641" s="92">
        <v>0</v>
      </c>
      <c r="F641" s="92">
        <v>0</v>
      </c>
      <c r="G641" s="92">
        <v>0</v>
      </c>
      <c r="H641" s="91">
        <v>0</v>
      </c>
      <c r="I641" s="91">
        <v>0</v>
      </c>
      <c r="J641" s="93">
        <v>0</v>
      </c>
      <c r="K641" s="93">
        <v>0</v>
      </c>
      <c r="L641" s="93">
        <v>0</v>
      </c>
      <c r="M641" s="93">
        <v>0</v>
      </c>
      <c r="N641" s="94">
        <v>0</v>
      </c>
      <c r="O641" s="94" t="str">
        <v/>
      </c>
      <c r="P641" s="93">
        <v>0</v>
      </c>
      <c r="Q641" s="92">
        <v>0</v>
      </c>
    </row>
    <row r="642" spans="2:17" x14ac:dyDescent="0.25">
      <c r="B642" s="92">
        <v>0</v>
      </c>
      <c r="C642" s="90">
        <v>0</v>
      </c>
      <c r="D642" s="91">
        <v>0</v>
      </c>
      <c r="E642" s="92">
        <v>0</v>
      </c>
      <c r="F642" s="92">
        <v>0</v>
      </c>
      <c r="G642" s="92">
        <v>0</v>
      </c>
      <c r="H642" s="91">
        <v>0</v>
      </c>
      <c r="I642" s="91">
        <v>0</v>
      </c>
      <c r="J642" s="93">
        <v>0</v>
      </c>
      <c r="K642" s="93">
        <v>0</v>
      </c>
      <c r="L642" s="93">
        <v>0</v>
      </c>
      <c r="M642" s="93">
        <v>0</v>
      </c>
      <c r="N642" s="94">
        <v>0</v>
      </c>
      <c r="O642" s="94" t="str">
        <v/>
      </c>
      <c r="P642" s="93">
        <v>0</v>
      </c>
      <c r="Q642" s="92">
        <v>0</v>
      </c>
    </row>
    <row r="643" spans="2:17" x14ac:dyDescent="0.25">
      <c r="B643" s="92">
        <v>0</v>
      </c>
      <c r="C643" s="90">
        <v>0</v>
      </c>
      <c r="D643" s="91">
        <v>0</v>
      </c>
      <c r="E643" s="92">
        <v>0</v>
      </c>
      <c r="F643" s="92">
        <v>0</v>
      </c>
      <c r="G643" s="92">
        <v>0</v>
      </c>
      <c r="H643" s="91">
        <v>0</v>
      </c>
      <c r="I643" s="91">
        <v>0</v>
      </c>
      <c r="J643" s="93">
        <v>0</v>
      </c>
      <c r="K643" s="93">
        <v>0</v>
      </c>
      <c r="L643" s="93">
        <v>0</v>
      </c>
      <c r="M643" s="93">
        <v>0</v>
      </c>
      <c r="N643" s="94">
        <v>0</v>
      </c>
      <c r="O643" s="94" t="str">
        <v/>
      </c>
      <c r="P643" s="93">
        <v>0</v>
      </c>
      <c r="Q643" s="92">
        <v>0</v>
      </c>
    </row>
    <row r="644" spans="2:17" x14ac:dyDescent="0.25">
      <c r="B644" s="92">
        <v>0</v>
      </c>
      <c r="C644" s="90">
        <v>0</v>
      </c>
      <c r="D644" s="91">
        <v>0</v>
      </c>
      <c r="E644" s="92">
        <v>0</v>
      </c>
      <c r="F644" s="92">
        <v>0</v>
      </c>
      <c r="G644" s="92">
        <v>0</v>
      </c>
      <c r="H644" s="91">
        <v>0</v>
      </c>
      <c r="I644" s="91">
        <v>0</v>
      </c>
      <c r="J644" s="93">
        <v>0</v>
      </c>
      <c r="K644" s="93">
        <v>0</v>
      </c>
      <c r="L644" s="93">
        <v>0</v>
      </c>
      <c r="M644" s="93">
        <v>0</v>
      </c>
      <c r="N644" s="94">
        <v>0</v>
      </c>
      <c r="O644" s="94" t="str">
        <v/>
      </c>
      <c r="P644" s="93">
        <v>0</v>
      </c>
      <c r="Q644" s="92">
        <v>0</v>
      </c>
    </row>
    <row r="645" spans="2:17" x14ac:dyDescent="0.25">
      <c r="B645" s="92">
        <v>0</v>
      </c>
      <c r="C645" s="90">
        <v>0</v>
      </c>
      <c r="D645" s="91">
        <v>0</v>
      </c>
      <c r="E645" s="92">
        <v>0</v>
      </c>
      <c r="F645" s="92">
        <v>0</v>
      </c>
      <c r="G645" s="92">
        <v>0</v>
      </c>
      <c r="H645" s="91">
        <v>0</v>
      </c>
      <c r="I645" s="91">
        <v>0</v>
      </c>
      <c r="J645" s="93">
        <v>0</v>
      </c>
      <c r="K645" s="93">
        <v>0</v>
      </c>
      <c r="L645" s="93">
        <v>0</v>
      </c>
      <c r="M645" s="93">
        <v>0</v>
      </c>
      <c r="N645" s="94">
        <v>0</v>
      </c>
      <c r="O645" s="94" t="str">
        <v/>
      </c>
      <c r="P645" s="93">
        <v>0</v>
      </c>
      <c r="Q645" s="92">
        <v>0</v>
      </c>
    </row>
    <row r="646" spans="2:17" x14ac:dyDescent="0.25">
      <c r="B646" s="92">
        <v>0</v>
      </c>
      <c r="C646" s="90">
        <v>0</v>
      </c>
      <c r="D646" s="91">
        <v>0</v>
      </c>
      <c r="E646" s="92">
        <v>0</v>
      </c>
      <c r="F646" s="92">
        <v>0</v>
      </c>
      <c r="G646" s="92">
        <v>0</v>
      </c>
      <c r="H646" s="91">
        <v>0</v>
      </c>
      <c r="I646" s="91">
        <v>0</v>
      </c>
      <c r="J646" s="93">
        <v>0</v>
      </c>
      <c r="K646" s="93">
        <v>0</v>
      </c>
      <c r="L646" s="93">
        <v>0</v>
      </c>
      <c r="M646" s="93">
        <v>0</v>
      </c>
      <c r="N646" s="94">
        <v>0</v>
      </c>
      <c r="O646" s="94" t="str">
        <v/>
      </c>
      <c r="P646" s="93">
        <v>0</v>
      </c>
      <c r="Q646" s="92">
        <v>0</v>
      </c>
    </row>
    <row r="647" spans="2:17" x14ac:dyDescent="0.25">
      <c r="B647" s="92">
        <v>0</v>
      </c>
      <c r="C647" s="90">
        <v>0</v>
      </c>
      <c r="D647" s="91">
        <v>0</v>
      </c>
      <c r="E647" s="92">
        <v>0</v>
      </c>
      <c r="F647" s="92">
        <v>0</v>
      </c>
      <c r="G647" s="92">
        <v>0</v>
      </c>
      <c r="H647" s="91">
        <v>0</v>
      </c>
      <c r="I647" s="91">
        <v>0</v>
      </c>
      <c r="J647" s="93">
        <v>0</v>
      </c>
      <c r="K647" s="93">
        <v>0</v>
      </c>
      <c r="L647" s="93">
        <v>0</v>
      </c>
      <c r="M647" s="93">
        <v>0</v>
      </c>
      <c r="N647" s="94">
        <v>0</v>
      </c>
      <c r="O647" s="94" t="str">
        <v/>
      </c>
      <c r="P647" s="93">
        <v>0</v>
      </c>
      <c r="Q647" s="92">
        <v>0</v>
      </c>
    </row>
    <row r="648" spans="2:17" x14ac:dyDescent="0.25">
      <c r="B648" s="92">
        <v>0</v>
      </c>
      <c r="C648" s="90">
        <v>0</v>
      </c>
      <c r="D648" s="91">
        <v>0</v>
      </c>
      <c r="E648" s="92">
        <v>0</v>
      </c>
      <c r="F648" s="92">
        <v>0</v>
      </c>
      <c r="G648" s="92">
        <v>0</v>
      </c>
      <c r="H648" s="91">
        <v>0</v>
      </c>
      <c r="I648" s="91">
        <v>0</v>
      </c>
      <c r="J648" s="93">
        <v>0</v>
      </c>
      <c r="K648" s="93">
        <v>0</v>
      </c>
      <c r="L648" s="93">
        <v>0</v>
      </c>
      <c r="M648" s="93">
        <v>0</v>
      </c>
      <c r="N648" s="94">
        <v>0</v>
      </c>
      <c r="O648" s="94" t="str">
        <v/>
      </c>
      <c r="P648" s="93">
        <v>0</v>
      </c>
      <c r="Q648" s="92">
        <v>0</v>
      </c>
    </row>
    <row r="649" spans="2:17" x14ac:dyDescent="0.25">
      <c r="B649" s="92">
        <v>0</v>
      </c>
      <c r="C649" s="90">
        <v>0</v>
      </c>
      <c r="D649" s="91">
        <v>0</v>
      </c>
      <c r="E649" s="92">
        <v>0</v>
      </c>
      <c r="F649" s="92">
        <v>0</v>
      </c>
      <c r="G649" s="92">
        <v>0</v>
      </c>
      <c r="H649" s="91">
        <v>0</v>
      </c>
      <c r="I649" s="91">
        <v>0</v>
      </c>
      <c r="J649" s="93">
        <v>0</v>
      </c>
      <c r="K649" s="93">
        <v>0</v>
      </c>
      <c r="L649" s="93">
        <v>0</v>
      </c>
      <c r="M649" s="93">
        <v>0</v>
      </c>
      <c r="N649" s="94">
        <v>0</v>
      </c>
      <c r="O649" s="94" t="str">
        <v/>
      </c>
      <c r="P649" s="93">
        <v>0</v>
      </c>
      <c r="Q649" s="92">
        <v>0</v>
      </c>
    </row>
    <row r="650" spans="2:17" x14ac:dyDescent="0.25">
      <c r="B650" s="92">
        <v>0</v>
      </c>
      <c r="C650" s="90">
        <v>0</v>
      </c>
      <c r="D650" s="91">
        <v>0</v>
      </c>
      <c r="E650" s="92">
        <v>0</v>
      </c>
      <c r="F650" s="92">
        <v>0</v>
      </c>
      <c r="G650" s="92">
        <v>0</v>
      </c>
      <c r="H650" s="91">
        <v>0</v>
      </c>
      <c r="I650" s="91">
        <v>0</v>
      </c>
      <c r="J650" s="93">
        <v>0</v>
      </c>
      <c r="K650" s="93">
        <v>0</v>
      </c>
      <c r="L650" s="93">
        <v>0</v>
      </c>
      <c r="M650" s="93">
        <v>0</v>
      </c>
      <c r="N650" s="94">
        <v>0</v>
      </c>
      <c r="O650" s="94" t="str">
        <v/>
      </c>
      <c r="P650" s="93">
        <v>0</v>
      </c>
      <c r="Q650" s="92">
        <v>0</v>
      </c>
    </row>
    <row r="651" spans="2:17" x14ac:dyDescent="0.25">
      <c r="B651" s="92">
        <v>0</v>
      </c>
      <c r="C651" s="90">
        <v>0</v>
      </c>
      <c r="D651" s="91">
        <v>0</v>
      </c>
      <c r="E651" s="92">
        <v>0</v>
      </c>
      <c r="F651" s="92">
        <v>0</v>
      </c>
      <c r="G651" s="92">
        <v>0</v>
      </c>
      <c r="H651" s="91">
        <v>0</v>
      </c>
      <c r="I651" s="91">
        <v>0</v>
      </c>
      <c r="J651" s="93">
        <v>0</v>
      </c>
      <c r="K651" s="93">
        <v>0</v>
      </c>
      <c r="L651" s="93">
        <v>0</v>
      </c>
      <c r="M651" s="93">
        <v>0</v>
      </c>
      <c r="N651" s="94">
        <v>0</v>
      </c>
      <c r="O651" s="94" t="str">
        <v/>
      </c>
      <c r="P651" s="93">
        <v>0</v>
      </c>
      <c r="Q651" s="92">
        <v>0</v>
      </c>
    </row>
    <row r="652" spans="2:17" x14ac:dyDescent="0.25">
      <c r="B652" s="92">
        <v>0</v>
      </c>
      <c r="C652" s="90">
        <v>0</v>
      </c>
      <c r="D652" s="91">
        <v>0</v>
      </c>
      <c r="E652" s="92">
        <v>0</v>
      </c>
      <c r="F652" s="92">
        <v>0</v>
      </c>
      <c r="G652" s="92">
        <v>0</v>
      </c>
      <c r="H652" s="91">
        <v>0</v>
      </c>
      <c r="I652" s="91">
        <v>0</v>
      </c>
      <c r="J652" s="93">
        <v>0</v>
      </c>
      <c r="K652" s="93">
        <v>0</v>
      </c>
      <c r="L652" s="93">
        <v>0</v>
      </c>
      <c r="M652" s="93">
        <v>0</v>
      </c>
      <c r="N652" s="94">
        <v>0</v>
      </c>
      <c r="O652" s="94" t="str">
        <v/>
      </c>
      <c r="P652" s="93">
        <v>0</v>
      </c>
      <c r="Q652" s="92">
        <v>0</v>
      </c>
    </row>
    <row r="653" spans="2:17" x14ac:dyDescent="0.25">
      <c r="B653" s="92">
        <v>0</v>
      </c>
      <c r="C653" s="90">
        <v>0</v>
      </c>
      <c r="D653" s="91">
        <v>0</v>
      </c>
      <c r="E653" s="92">
        <v>0</v>
      </c>
      <c r="F653" s="92">
        <v>0</v>
      </c>
      <c r="G653" s="92">
        <v>0</v>
      </c>
      <c r="H653" s="91">
        <v>0</v>
      </c>
      <c r="I653" s="91">
        <v>0</v>
      </c>
      <c r="J653" s="93">
        <v>0</v>
      </c>
      <c r="K653" s="93">
        <v>0</v>
      </c>
      <c r="L653" s="93">
        <v>0</v>
      </c>
      <c r="M653" s="93">
        <v>0</v>
      </c>
      <c r="N653" s="94">
        <v>0</v>
      </c>
      <c r="O653" s="94" t="str">
        <v/>
      </c>
      <c r="P653" s="93">
        <v>0</v>
      </c>
      <c r="Q653" s="92">
        <v>0</v>
      </c>
    </row>
    <row r="654" spans="2:17" x14ac:dyDescent="0.25">
      <c r="B654" s="92">
        <v>0</v>
      </c>
      <c r="C654" s="90">
        <v>0</v>
      </c>
      <c r="D654" s="91">
        <v>0</v>
      </c>
      <c r="E654" s="92">
        <v>0</v>
      </c>
      <c r="F654" s="92">
        <v>0</v>
      </c>
      <c r="G654" s="92">
        <v>0</v>
      </c>
      <c r="H654" s="91">
        <v>0</v>
      </c>
      <c r="I654" s="91">
        <v>0</v>
      </c>
      <c r="J654" s="93">
        <v>0</v>
      </c>
      <c r="K654" s="93">
        <v>0</v>
      </c>
      <c r="L654" s="93">
        <v>0</v>
      </c>
      <c r="M654" s="93">
        <v>0</v>
      </c>
      <c r="N654" s="94">
        <v>0</v>
      </c>
      <c r="O654" s="94" t="str">
        <v/>
      </c>
      <c r="P654" s="93">
        <v>0</v>
      </c>
      <c r="Q654" s="92">
        <v>0</v>
      </c>
    </row>
    <row r="655" spans="2:17" x14ac:dyDescent="0.25">
      <c r="B655" s="92">
        <v>0</v>
      </c>
      <c r="C655" s="90">
        <v>0</v>
      </c>
      <c r="D655" s="91">
        <v>0</v>
      </c>
      <c r="E655" s="92">
        <v>0</v>
      </c>
      <c r="F655" s="92">
        <v>0</v>
      </c>
      <c r="G655" s="92">
        <v>0</v>
      </c>
      <c r="H655" s="91">
        <v>0</v>
      </c>
      <c r="I655" s="91">
        <v>0</v>
      </c>
      <c r="J655" s="93">
        <v>0</v>
      </c>
      <c r="K655" s="93">
        <v>0</v>
      </c>
      <c r="L655" s="93">
        <v>0</v>
      </c>
      <c r="M655" s="93">
        <v>0</v>
      </c>
      <c r="N655" s="94">
        <v>0</v>
      </c>
      <c r="O655" s="94" t="str">
        <v/>
      </c>
      <c r="P655" s="93">
        <v>0</v>
      </c>
      <c r="Q655" s="92">
        <v>0</v>
      </c>
    </row>
    <row r="656" spans="2:17" x14ac:dyDescent="0.25">
      <c r="B656" s="92">
        <v>0</v>
      </c>
      <c r="C656" s="90">
        <v>0</v>
      </c>
      <c r="D656" s="91">
        <v>0</v>
      </c>
      <c r="E656" s="92">
        <v>0</v>
      </c>
      <c r="F656" s="92">
        <v>0</v>
      </c>
      <c r="G656" s="92">
        <v>0</v>
      </c>
      <c r="H656" s="91">
        <v>0</v>
      </c>
      <c r="I656" s="91">
        <v>0</v>
      </c>
      <c r="J656" s="93">
        <v>0</v>
      </c>
      <c r="K656" s="93">
        <v>0</v>
      </c>
      <c r="L656" s="93">
        <v>0</v>
      </c>
      <c r="M656" s="93">
        <v>0</v>
      </c>
      <c r="N656" s="94">
        <v>0</v>
      </c>
      <c r="O656" s="94" t="str">
        <v/>
      </c>
      <c r="P656" s="93">
        <v>0</v>
      </c>
      <c r="Q656" s="92">
        <v>0</v>
      </c>
    </row>
    <row r="657" spans="2:17" x14ac:dyDescent="0.25">
      <c r="B657" s="92">
        <v>0</v>
      </c>
      <c r="C657" s="90">
        <v>0</v>
      </c>
      <c r="D657" s="91">
        <v>0</v>
      </c>
      <c r="E657" s="92">
        <v>0</v>
      </c>
      <c r="F657" s="92">
        <v>0</v>
      </c>
      <c r="G657" s="92">
        <v>0</v>
      </c>
      <c r="H657" s="91">
        <v>0</v>
      </c>
      <c r="I657" s="91">
        <v>0</v>
      </c>
      <c r="J657" s="93">
        <v>0</v>
      </c>
      <c r="K657" s="93">
        <v>0</v>
      </c>
      <c r="L657" s="93">
        <v>0</v>
      </c>
      <c r="M657" s="93">
        <v>0</v>
      </c>
      <c r="N657" s="94">
        <v>0</v>
      </c>
      <c r="O657" s="94" t="str">
        <v/>
      </c>
      <c r="P657" s="93">
        <v>0</v>
      </c>
      <c r="Q657" s="92">
        <v>0</v>
      </c>
    </row>
    <row r="658" spans="2:17" x14ac:dyDescent="0.25">
      <c r="B658" s="92">
        <v>0</v>
      </c>
      <c r="C658" s="90">
        <v>0</v>
      </c>
      <c r="D658" s="91">
        <v>0</v>
      </c>
      <c r="E658" s="92">
        <v>0</v>
      </c>
      <c r="F658" s="92">
        <v>0</v>
      </c>
      <c r="G658" s="92">
        <v>0</v>
      </c>
      <c r="H658" s="91">
        <v>0</v>
      </c>
      <c r="I658" s="91">
        <v>0</v>
      </c>
      <c r="J658" s="93">
        <v>0</v>
      </c>
      <c r="K658" s="93">
        <v>0</v>
      </c>
      <c r="L658" s="93">
        <v>0</v>
      </c>
      <c r="M658" s="93">
        <v>0</v>
      </c>
      <c r="N658" s="94">
        <v>0</v>
      </c>
      <c r="O658" s="94" t="str">
        <v/>
      </c>
      <c r="P658" s="93">
        <v>0</v>
      </c>
      <c r="Q658" s="92">
        <v>0</v>
      </c>
    </row>
    <row r="659" spans="2:17" x14ac:dyDescent="0.25">
      <c r="B659" s="92">
        <v>0</v>
      </c>
      <c r="C659" s="90">
        <v>0</v>
      </c>
      <c r="D659" s="91">
        <v>0</v>
      </c>
      <c r="E659" s="92">
        <v>0</v>
      </c>
      <c r="F659" s="92">
        <v>0</v>
      </c>
      <c r="G659" s="92">
        <v>0</v>
      </c>
      <c r="H659" s="91">
        <v>0</v>
      </c>
      <c r="I659" s="91">
        <v>0</v>
      </c>
      <c r="J659" s="93">
        <v>0</v>
      </c>
      <c r="K659" s="93">
        <v>0</v>
      </c>
      <c r="L659" s="93">
        <v>0</v>
      </c>
      <c r="M659" s="93">
        <v>0</v>
      </c>
      <c r="N659" s="94">
        <v>0</v>
      </c>
      <c r="O659" s="94" t="str">
        <v/>
      </c>
      <c r="P659" s="93">
        <v>0</v>
      </c>
      <c r="Q659" s="92">
        <v>0</v>
      </c>
    </row>
    <row r="660" spans="2:17" x14ac:dyDescent="0.25">
      <c r="B660" s="92">
        <v>0</v>
      </c>
      <c r="C660" s="90">
        <v>0</v>
      </c>
      <c r="D660" s="91">
        <v>0</v>
      </c>
      <c r="E660" s="92">
        <v>0</v>
      </c>
      <c r="F660" s="92">
        <v>0</v>
      </c>
      <c r="G660" s="92">
        <v>0</v>
      </c>
      <c r="H660" s="91">
        <v>0</v>
      </c>
      <c r="I660" s="91">
        <v>0</v>
      </c>
      <c r="J660" s="93">
        <v>0</v>
      </c>
      <c r="K660" s="93">
        <v>0</v>
      </c>
      <c r="L660" s="93">
        <v>0</v>
      </c>
      <c r="M660" s="93">
        <v>0</v>
      </c>
      <c r="N660" s="94">
        <v>0</v>
      </c>
      <c r="O660" s="94" t="str">
        <v/>
      </c>
      <c r="P660" s="93">
        <v>0</v>
      </c>
      <c r="Q660" s="92">
        <v>0</v>
      </c>
    </row>
    <row r="661" spans="2:17" x14ac:dyDescent="0.25">
      <c r="B661" s="92">
        <v>0</v>
      </c>
      <c r="C661" s="90">
        <v>0</v>
      </c>
      <c r="D661" s="91">
        <v>0</v>
      </c>
      <c r="E661" s="92">
        <v>0</v>
      </c>
      <c r="F661" s="92">
        <v>0</v>
      </c>
      <c r="G661" s="92">
        <v>0</v>
      </c>
      <c r="H661" s="91">
        <v>0</v>
      </c>
      <c r="I661" s="91">
        <v>0</v>
      </c>
      <c r="J661" s="93">
        <v>0</v>
      </c>
      <c r="K661" s="93">
        <v>0</v>
      </c>
      <c r="L661" s="93">
        <v>0</v>
      </c>
      <c r="M661" s="93">
        <v>0</v>
      </c>
      <c r="N661" s="94">
        <v>0</v>
      </c>
      <c r="O661" s="94" t="str">
        <v/>
      </c>
      <c r="P661" s="93">
        <v>0</v>
      </c>
      <c r="Q661" s="92">
        <v>0</v>
      </c>
    </row>
    <row r="662" spans="2:17" x14ac:dyDescent="0.25">
      <c r="B662" s="92">
        <v>0</v>
      </c>
      <c r="C662" s="90">
        <v>0</v>
      </c>
      <c r="D662" s="91">
        <v>0</v>
      </c>
      <c r="E662" s="92">
        <v>0</v>
      </c>
      <c r="F662" s="92">
        <v>0</v>
      </c>
      <c r="G662" s="92">
        <v>0</v>
      </c>
      <c r="H662" s="91">
        <v>0</v>
      </c>
      <c r="I662" s="91">
        <v>0</v>
      </c>
      <c r="J662" s="93">
        <v>0</v>
      </c>
      <c r="K662" s="93">
        <v>0</v>
      </c>
      <c r="L662" s="93">
        <v>0</v>
      </c>
      <c r="M662" s="93">
        <v>0</v>
      </c>
      <c r="N662" s="94">
        <v>0</v>
      </c>
      <c r="O662" s="94" t="str">
        <v/>
      </c>
      <c r="P662" s="93">
        <v>0</v>
      </c>
      <c r="Q662" s="92">
        <v>0</v>
      </c>
    </row>
    <row r="663" spans="2:17" x14ac:dyDescent="0.25">
      <c r="B663" s="92">
        <v>0</v>
      </c>
      <c r="C663" s="90">
        <v>0</v>
      </c>
      <c r="D663" s="91">
        <v>0</v>
      </c>
      <c r="E663" s="92">
        <v>0</v>
      </c>
      <c r="F663" s="92">
        <v>0</v>
      </c>
      <c r="G663" s="92">
        <v>0</v>
      </c>
      <c r="H663" s="91">
        <v>0</v>
      </c>
      <c r="I663" s="91">
        <v>0</v>
      </c>
      <c r="J663" s="93">
        <v>0</v>
      </c>
      <c r="K663" s="93">
        <v>0</v>
      </c>
      <c r="L663" s="93">
        <v>0</v>
      </c>
      <c r="M663" s="93">
        <v>0</v>
      </c>
      <c r="N663" s="94">
        <v>0</v>
      </c>
      <c r="O663" s="94" t="str">
        <v/>
      </c>
      <c r="P663" s="93">
        <v>0</v>
      </c>
      <c r="Q663" s="92">
        <v>0</v>
      </c>
    </row>
    <row r="664" spans="2:17" x14ac:dyDescent="0.25">
      <c r="B664" s="92">
        <v>0</v>
      </c>
      <c r="C664" s="90">
        <v>0</v>
      </c>
      <c r="D664" s="91">
        <v>0</v>
      </c>
      <c r="E664" s="92">
        <v>0</v>
      </c>
      <c r="F664" s="92">
        <v>0</v>
      </c>
      <c r="G664" s="92">
        <v>0</v>
      </c>
      <c r="H664" s="91">
        <v>0</v>
      </c>
      <c r="I664" s="91">
        <v>0</v>
      </c>
      <c r="J664" s="93">
        <v>0</v>
      </c>
      <c r="K664" s="93">
        <v>0</v>
      </c>
      <c r="L664" s="93">
        <v>0</v>
      </c>
      <c r="M664" s="93">
        <v>0</v>
      </c>
      <c r="N664" s="94">
        <v>0</v>
      </c>
      <c r="O664" s="94" t="str">
        <v/>
      </c>
      <c r="P664" s="93">
        <v>0</v>
      </c>
      <c r="Q664" s="92">
        <v>0</v>
      </c>
    </row>
    <row r="665" spans="2:17" x14ac:dyDescent="0.25">
      <c r="B665" s="92">
        <v>0</v>
      </c>
      <c r="C665" s="90">
        <v>0</v>
      </c>
      <c r="D665" s="91">
        <v>0</v>
      </c>
      <c r="E665" s="92">
        <v>0</v>
      </c>
      <c r="F665" s="92">
        <v>0</v>
      </c>
      <c r="G665" s="92">
        <v>0</v>
      </c>
      <c r="H665" s="91">
        <v>0</v>
      </c>
      <c r="I665" s="91">
        <v>0</v>
      </c>
      <c r="J665" s="93">
        <v>0</v>
      </c>
      <c r="K665" s="93">
        <v>0</v>
      </c>
      <c r="L665" s="93">
        <v>0</v>
      </c>
      <c r="M665" s="93">
        <v>0</v>
      </c>
      <c r="N665" s="94">
        <v>0</v>
      </c>
      <c r="O665" s="94" t="str">
        <v/>
      </c>
      <c r="P665" s="93">
        <v>0</v>
      </c>
      <c r="Q665" s="92">
        <v>0</v>
      </c>
    </row>
    <row r="666" spans="2:17" x14ac:dyDescent="0.25">
      <c r="B666" s="92">
        <v>0</v>
      </c>
      <c r="C666" s="90">
        <v>0</v>
      </c>
      <c r="D666" s="91">
        <v>0</v>
      </c>
      <c r="E666" s="92">
        <v>0</v>
      </c>
      <c r="F666" s="92">
        <v>0</v>
      </c>
      <c r="G666" s="92">
        <v>0</v>
      </c>
      <c r="H666" s="91">
        <v>0</v>
      </c>
      <c r="I666" s="91">
        <v>0</v>
      </c>
      <c r="J666" s="93">
        <v>0</v>
      </c>
      <c r="K666" s="93">
        <v>0</v>
      </c>
      <c r="L666" s="93">
        <v>0</v>
      </c>
      <c r="M666" s="93">
        <v>0</v>
      </c>
      <c r="N666" s="94">
        <v>0</v>
      </c>
      <c r="O666" s="94" t="str">
        <v/>
      </c>
      <c r="P666" s="93">
        <v>0</v>
      </c>
      <c r="Q666" s="92">
        <v>0</v>
      </c>
    </row>
    <row r="667" spans="2:17" x14ac:dyDescent="0.25">
      <c r="B667" s="92">
        <v>0</v>
      </c>
      <c r="C667" s="90">
        <v>0</v>
      </c>
      <c r="D667" s="91">
        <v>0</v>
      </c>
      <c r="E667" s="92">
        <v>0</v>
      </c>
      <c r="F667" s="92">
        <v>0</v>
      </c>
      <c r="G667" s="92">
        <v>0</v>
      </c>
      <c r="H667" s="91">
        <v>0</v>
      </c>
      <c r="I667" s="91">
        <v>0</v>
      </c>
      <c r="J667" s="93">
        <v>0</v>
      </c>
      <c r="K667" s="93">
        <v>0</v>
      </c>
      <c r="L667" s="93">
        <v>0</v>
      </c>
      <c r="M667" s="93">
        <v>0</v>
      </c>
      <c r="N667" s="94">
        <v>0</v>
      </c>
      <c r="O667" s="94" t="str">
        <v/>
      </c>
      <c r="P667" s="93">
        <v>0</v>
      </c>
      <c r="Q667" s="92">
        <v>0</v>
      </c>
    </row>
    <row r="668" spans="2:17" x14ac:dyDescent="0.25">
      <c r="B668" s="92">
        <v>0</v>
      </c>
      <c r="C668" s="90">
        <v>0</v>
      </c>
      <c r="D668" s="91">
        <v>0</v>
      </c>
      <c r="E668" s="92">
        <v>0</v>
      </c>
      <c r="F668" s="92">
        <v>0</v>
      </c>
      <c r="G668" s="92">
        <v>0</v>
      </c>
      <c r="H668" s="91">
        <v>0</v>
      </c>
      <c r="I668" s="91">
        <v>0</v>
      </c>
      <c r="J668" s="93">
        <v>0</v>
      </c>
      <c r="K668" s="93">
        <v>0</v>
      </c>
      <c r="L668" s="93">
        <v>0</v>
      </c>
      <c r="M668" s="93">
        <v>0</v>
      </c>
      <c r="N668" s="94">
        <v>0</v>
      </c>
      <c r="O668" s="94" t="str">
        <v/>
      </c>
      <c r="P668" s="93">
        <v>0</v>
      </c>
      <c r="Q668" s="92">
        <v>0</v>
      </c>
    </row>
    <row r="669" spans="2:17" x14ac:dyDescent="0.25">
      <c r="B669" s="92">
        <v>0</v>
      </c>
      <c r="C669" s="90">
        <v>0</v>
      </c>
      <c r="D669" s="91">
        <v>0</v>
      </c>
      <c r="E669" s="92">
        <v>0</v>
      </c>
      <c r="F669" s="92">
        <v>0</v>
      </c>
      <c r="G669" s="92">
        <v>0</v>
      </c>
      <c r="H669" s="91">
        <v>0</v>
      </c>
      <c r="I669" s="91">
        <v>0</v>
      </c>
      <c r="J669" s="93">
        <v>0</v>
      </c>
      <c r="K669" s="93">
        <v>0</v>
      </c>
      <c r="L669" s="93">
        <v>0</v>
      </c>
      <c r="M669" s="93">
        <v>0</v>
      </c>
      <c r="N669" s="94">
        <v>0</v>
      </c>
      <c r="O669" s="94" t="str">
        <v/>
      </c>
      <c r="P669" s="93">
        <v>0</v>
      </c>
      <c r="Q669" s="92">
        <v>0</v>
      </c>
    </row>
    <row r="670" spans="2:17" x14ac:dyDescent="0.25">
      <c r="B670" s="92">
        <v>0</v>
      </c>
      <c r="C670" s="90">
        <v>0</v>
      </c>
      <c r="D670" s="91">
        <v>0</v>
      </c>
      <c r="E670" s="92">
        <v>0</v>
      </c>
      <c r="F670" s="92">
        <v>0</v>
      </c>
      <c r="G670" s="92">
        <v>0</v>
      </c>
      <c r="H670" s="91">
        <v>0</v>
      </c>
      <c r="I670" s="91">
        <v>0</v>
      </c>
      <c r="J670" s="93">
        <v>0</v>
      </c>
      <c r="K670" s="93">
        <v>0</v>
      </c>
      <c r="L670" s="93">
        <v>0</v>
      </c>
      <c r="M670" s="93">
        <v>0</v>
      </c>
      <c r="N670" s="94">
        <v>0</v>
      </c>
      <c r="O670" s="94" t="str">
        <v/>
      </c>
      <c r="P670" s="93">
        <v>0</v>
      </c>
      <c r="Q670" s="92">
        <v>0</v>
      </c>
    </row>
    <row r="671" spans="2:17" x14ac:dyDescent="0.25">
      <c r="B671" s="92">
        <v>0</v>
      </c>
      <c r="C671" s="90">
        <v>0</v>
      </c>
      <c r="D671" s="91">
        <v>0</v>
      </c>
      <c r="E671" s="92">
        <v>0</v>
      </c>
      <c r="F671" s="92">
        <v>0</v>
      </c>
      <c r="G671" s="92">
        <v>0</v>
      </c>
      <c r="H671" s="91">
        <v>0</v>
      </c>
      <c r="I671" s="91">
        <v>0</v>
      </c>
      <c r="J671" s="93">
        <v>0</v>
      </c>
      <c r="K671" s="93">
        <v>0</v>
      </c>
      <c r="L671" s="93">
        <v>0</v>
      </c>
      <c r="M671" s="93">
        <v>0</v>
      </c>
      <c r="N671" s="94">
        <v>0</v>
      </c>
      <c r="O671" s="94" t="str">
        <v/>
      </c>
      <c r="P671" s="93">
        <v>0</v>
      </c>
      <c r="Q671" s="92">
        <v>0</v>
      </c>
    </row>
    <row r="672" spans="2:17" x14ac:dyDescent="0.25">
      <c r="B672" s="92">
        <v>0</v>
      </c>
      <c r="C672" s="90">
        <v>0</v>
      </c>
      <c r="D672" s="91">
        <v>0</v>
      </c>
      <c r="E672" s="92">
        <v>0</v>
      </c>
      <c r="F672" s="92">
        <v>0</v>
      </c>
      <c r="G672" s="92">
        <v>0</v>
      </c>
      <c r="H672" s="91">
        <v>0</v>
      </c>
      <c r="I672" s="91">
        <v>0</v>
      </c>
      <c r="J672" s="93">
        <v>0</v>
      </c>
      <c r="K672" s="93">
        <v>0</v>
      </c>
      <c r="L672" s="93">
        <v>0</v>
      </c>
      <c r="M672" s="93">
        <v>0</v>
      </c>
      <c r="N672" s="94">
        <v>0</v>
      </c>
      <c r="O672" s="94" t="str">
        <v/>
      </c>
      <c r="P672" s="93">
        <v>0</v>
      </c>
      <c r="Q672" s="92">
        <v>0</v>
      </c>
    </row>
    <row r="673" spans="2:17" x14ac:dyDescent="0.25">
      <c r="B673" s="92">
        <v>0</v>
      </c>
      <c r="C673" s="90">
        <v>0</v>
      </c>
      <c r="D673" s="91">
        <v>0</v>
      </c>
      <c r="E673" s="92">
        <v>0</v>
      </c>
      <c r="F673" s="92">
        <v>0</v>
      </c>
      <c r="G673" s="92">
        <v>0</v>
      </c>
      <c r="H673" s="91">
        <v>0</v>
      </c>
      <c r="I673" s="91">
        <v>0</v>
      </c>
      <c r="J673" s="93">
        <v>0</v>
      </c>
      <c r="K673" s="93">
        <v>0</v>
      </c>
      <c r="L673" s="93">
        <v>0</v>
      </c>
      <c r="M673" s="93">
        <v>0</v>
      </c>
      <c r="N673" s="94">
        <v>0</v>
      </c>
      <c r="O673" s="94" t="str">
        <v/>
      </c>
      <c r="P673" s="93">
        <v>0</v>
      </c>
      <c r="Q673" s="92">
        <v>0</v>
      </c>
    </row>
    <row r="674" spans="2:17" x14ac:dyDescent="0.25">
      <c r="B674" s="92">
        <v>0</v>
      </c>
      <c r="C674" s="90">
        <v>0</v>
      </c>
      <c r="D674" s="91">
        <v>0</v>
      </c>
      <c r="E674" s="92">
        <v>0</v>
      </c>
      <c r="F674" s="92">
        <v>0</v>
      </c>
      <c r="G674" s="92">
        <v>0</v>
      </c>
      <c r="H674" s="91">
        <v>0</v>
      </c>
      <c r="I674" s="91">
        <v>0</v>
      </c>
      <c r="J674" s="93">
        <v>0</v>
      </c>
      <c r="K674" s="93">
        <v>0</v>
      </c>
      <c r="L674" s="93">
        <v>0</v>
      </c>
      <c r="M674" s="93">
        <v>0</v>
      </c>
      <c r="N674" s="94">
        <v>0</v>
      </c>
      <c r="O674" s="94" t="str">
        <v/>
      </c>
      <c r="P674" s="93">
        <v>0</v>
      </c>
      <c r="Q674" s="92">
        <v>0</v>
      </c>
    </row>
    <row r="675" spans="2:17" x14ac:dyDescent="0.25">
      <c r="B675" s="92">
        <v>0</v>
      </c>
      <c r="C675" s="90">
        <v>0</v>
      </c>
      <c r="D675" s="91">
        <v>0</v>
      </c>
      <c r="E675" s="92">
        <v>0</v>
      </c>
      <c r="F675" s="92">
        <v>0</v>
      </c>
      <c r="G675" s="92">
        <v>0</v>
      </c>
      <c r="H675" s="91">
        <v>0</v>
      </c>
      <c r="I675" s="91">
        <v>0</v>
      </c>
      <c r="J675" s="93">
        <v>0</v>
      </c>
      <c r="K675" s="93">
        <v>0</v>
      </c>
      <c r="L675" s="93">
        <v>0</v>
      </c>
      <c r="M675" s="93">
        <v>0</v>
      </c>
      <c r="N675" s="94">
        <v>0</v>
      </c>
      <c r="O675" s="94" t="str">
        <v/>
      </c>
      <c r="P675" s="93">
        <v>0</v>
      </c>
      <c r="Q675" s="92">
        <v>0</v>
      </c>
    </row>
    <row r="676" spans="2:17" x14ac:dyDescent="0.25">
      <c r="B676" s="92">
        <v>0</v>
      </c>
      <c r="C676" s="90">
        <v>0</v>
      </c>
      <c r="D676" s="91">
        <v>0</v>
      </c>
      <c r="E676" s="92">
        <v>0</v>
      </c>
      <c r="F676" s="92">
        <v>0</v>
      </c>
      <c r="G676" s="92">
        <v>0</v>
      </c>
      <c r="H676" s="91">
        <v>0</v>
      </c>
      <c r="I676" s="91">
        <v>0</v>
      </c>
      <c r="J676" s="93">
        <v>0</v>
      </c>
      <c r="K676" s="93">
        <v>0</v>
      </c>
      <c r="L676" s="93">
        <v>0</v>
      </c>
      <c r="M676" s="93">
        <v>0</v>
      </c>
      <c r="N676" s="94">
        <v>0</v>
      </c>
      <c r="O676" s="94" t="str">
        <v/>
      </c>
      <c r="P676" s="93">
        <v>0</v>
      </c>
      <c r="Q676" s="92">
        <v>0</v>
      </c>
    </row>
    <row r="677" spans="2:17" x14ac:dyDescent="0.25">
      <c r="B677" s="92">
        <v>0</v>
      </c>
      <c r="C677" s="90">
        <v>0</v>
      </c>
      <c r="D677" s="91">
        <v>0</v>
      </c>
      <c r="E677" s="92">
        <v>0</v>
      </c>
      <c r="F677" s="92">
        <v>0</v>
      </c>
      <c r="G677" s="92">
        <v>0</v>
      </c>
      <c r="H677" s="91">
        <v>0</v>
      </c>
      <c r="I677" s="91">
        <v>0</v>
      </c>
      <c r="J677" s="93">
        <v>0</v>
      </c>
      <c r="K677" s="93">
        <v>0</v>
      </c>
      <c r="L677" s="93">
        <v>0</v>
      </c>
      <c r="M677" s="93">
        <v>0</v>
      </c>
      <c r="N677" s="94">
        <v>0</v>
      </c>
      <c r="O677" s="94" t="str">
        <v/>
      </c>
      <c r="P677" s="93">
        <v>0</v>
      </c>
      <c r="Q677" s="92">
        <v>0</v>
      </c>
    </row>
    <row r="678" spans="2:17" x14ac:dyDescent="0.25">
      <c r="B678" s="92">
        <v>0</v>
      </c>
      <c r="C678" s="90">
        <v>0</v>
      </c>
      <c r="D678" s="91">
        <v>0</v>
      </c>
      <c r="E678" s="92">
        <v>0</v>
      </c>
      <c r="F678" s="92">
        <v>0</v>
      </c>
      <c r="G678" s="92">
        <v>0</v>
      </c>
      <c r="H678" s="91">
        <v>0</v>
      </c>
      <c r="I678" s="91">
        <v>0</v>
      </c>
      <c r="J678" s="93">
        <v>0</v>
      </c>
      <c r="K678" s="93">
        <v>0</v>
      </c>
      <c r="L678" s="93">
        <v>0</v>
      </c>
      <c r="M678" s="93">
        <v>0</v>
      </c>
      <c r="N678" s="94">
        <v>0</v>
      </c>
      <c r="O678" s="94" t="str">
        <v/>
      </c>
      <c r="P678" s="93">
        <v>0</v>
      </c>
      <c r="Q678" s="92">
        <v>0</v>
      </c>
    </row>
    <row r="679" spans="2:17" x14ac:dyDescent="0.25">
      <c r="B679" s="92">
        <v>0</v>
      </c>
      <c r="C679" s="90">
        <v>0</v>
      </c>
      <c r="D679" s="91">
        <v>0</v>
      </c>
      <c r="E679" s="92">
        <v>0</v>
      </c>
      <c r="F679" s="92">
        <v>0</v>
      </c>
      <c r="G679" s="92">
        <v>0</v>
      </c>
      <c r="H679" s="91">
        <v>0</v>
      </c>
      <c r="I679" s="91">
        <v>0</v>
      </c>
      <c r="J679" s="93">
        <v>0</v>
      </c>
      <c r="K679" s="93">
        <v>0</v>
      </c>
      <c r="L679" s="93">
        <v>0</v>
      </c>
      <c r="M679" s="93">
        <v>0</v>
      </c>
      <c r="N679" s="94">
        <v>0</v>
      </c>
      <c r="O679" s="94" t="str">
        <v/>
      </c>
      <c r="P679" s="93">
        <v>0</v>
      </c>
      <c r="Q679" s="92">
        <v>0</v>
      </c>
    </row>
    <row r="680" spans="2:17" x14ac:dyDescent="0.25">
      <c r="B680" s="92">
        <v>0</v>
      </c>
      <c r="C680" s="90">
        <v>0</v>
      </c>
      <c r="D680" s="91">
        <v>0</v>
      </c>
      <c r="E680" s="92">
        <v>0</v>
      </c>
      <c r="F680" s="92">
        <v>0</v>
      </c>
      <c r="G680" s="92">
        <v>0</v>
      </c>
      <c r="H680" s="91">
        <v>0</v>
      </c>
      <c r="I680" s="91">
        <v>0</v>
      </c>
      <c r="J680" s="93">
        <v>0</v>
      </c>
      <c r="K680" s="93">
        <v>0</v>
      </c>
      <c r="L680" s="93">
        <v>0</v>
      </c>
      <c r="M680" s="93">
        <v>0</v>
      </c>
      <c r="N680" s="94">
        <v>0</v>
      </c>
      <c r="O680" s="94" t="str">
        <v/>
      </c>
      <c r="P680" s="93">
        <v>0</v>
      </c>
      <c r="Q680" s="92">
        <v>0</v>
      </c>
    </row>
    <row r="681" spans="2:17" x14ac:dyDescent="0.25">
      <c r="B681" s="92">
        <v>0</v>
      </c>
      <c r="C681" s="90">
        <v>0</v>
      </c>
      <c r="D681" s="91">
        <v>0</v>
      </c>
      <c r="E681" s="92">
        <v>0</v>
      </c>
      <c r="F681" s="92">
        <v>0</v>
      </c>
      <c r="G681" s="92">
        <v>0</v>
      </c>
      <c r="H681" s="91">
        <v>0</v>
      </c>
      <c r="I681" s="91">
        <v>0</v>
      </c>
      <c r="J681" s="93">
        <v>0</v>
      </c>
      <c r="K681" s="93">
        <v>0</v>
      </c>
      <c r="L681" s="93">
        <v>0</v>
      </c>
      <c r="M681" s="93">
        <v>0</v>
      </c>
      <c r="N681" s="94">
        <v>0</v>
      </c>
      <c r="O681" s="94" t="str">
        <v/>
      </c>
      <c r="P681" s="93">
        <v>0</v>
      </c>
      <c r="Q681" s="92">
        <v>0</v>
      </c>
    </row>
    <row r="682" spans="2:17" x14ac:dyDescent="0.25">
      <c r="B682" s="92">
        <v>0</v>
      </c>
      <c r="C682" s="90">
        <v>0</v>
      </c>
      <c r="D682" s="91">
        <v>0</v>
      </c>
      <c r="E682" s="92">
        <v>0</v>
      </c>
      <c r="F682" s="92">
        <v>0</v>
      </c>
      <c r="G682" s="92">
        <v>0</v>
      </c>
      <c r="H682" s="91">
        <v>0</v>
      </c>
      <c r="I682" s="91">
        <v>0</v>
      </c>
      <c r="J682" s="93">
        <v>0</v>
      </c>
      <c r="K682" s="93">
        <v>0</v>
      </c>
      <c r="L682" s="93">
        <v>0</v>
      </c>
      <c r="M682" s="93">
        <v>0</v>
      </c>
      <c r="N682" s="94">
        <v>0</v>
      </c>
      <c r="O682" s="94" t="str">
        <v/>
      </c>
      <c r="P682" s="93">
        <v>0</v>
      </c>
      <c r="Q682" s="92">
        <v>0</v>
      </c>
    </row>
    <row r="683" spans="2:17" x14ac:dyDescent="0.25">
      <c r="B683" s="92">
        <v>0</v>
      </c>
      <c r="C683" s="90">
        <v>0</v>
      </c>
      <c r="D683" s="91">
        <v>0</v>
      </c>
      <c r="E683" s="92">
        <v>0</v>
      </c>
      <c r="F683" s="92">
        <v>0</v>
      </c>
      <c r="G683" s="92">
        <v>0</v>
      </c>
      <c r="H683" s="91">
        <v>0</v>
      </c>
      <c r="I683" s="91">
        <v>0</v>
      </c>
      <c r="J683" s="93">
        <v>0</v>
      </c>
      <c r="K683" s="93">
        <v>0</v>
      </c>
      <c r="L683" s="93">
        <v>0</v>
      </c>
      <c r="M683" s="93">
        <v>0</v>
      </c>
      <c r="N683" s="94">
        <v>0</v>
      </c>
      <c r="O683" s="94" t="str">
        <v/>
      </c>
      <c r="P683" s="93">
        <v>0</v>
      </c>
      <c r="Q683" s="92">
        <v>0</v>
      </c>
    </row>
    <row r="684" spans="2:17" x14ac:dyDescent="0.25">
      <c r="B684" s="92">
        <v>0</v>
      </c>
      <c r="C684" s="90">
        <v>0</v>
      </c>
      <c r="D684" s="91">
        <v>0</v>
      </c>
      <c r="E684" s="92">
        <v>0</v>
      </c>
      <c r="F684" s="92">
        <v>0</v>
      </c>
      <c r="G684" s="92">
        <v>0</v>
      </c>
      <c r="H684" s="91">
        <v>0</v>
      </c>
      <c r="I684" s="91">
        <v>0</v>
      </c>
      <c r="J684" s="93">
        <v>0</v>
      </c>
      <c r="K684" s="93">
        <v>0</v>
      </c>
      <c r="L684" s="93">
        <v>0</v>
      </c>
      <c r="M684" s="93">
        <v>0</v>
      </c>
      <c r="N684" s="94">
        <v>0</v>
      </c>
      <c r="O684" s="94" t="str">
        <v/>
      </c>
      <c r="P684" s="93">
        <v>0</v>
      </c>
      <c r="Q684" s="92">
        <v>0</v>
      </c>
    </row>
    <row r="685" spans="2:17" x14ac:dyDescent="0.25">
      <c r="B685" s="92">
        <v>0</v>
      </c>
      <c r="C685" s="90">
        <v>0</v>
      </c>
      <c r="D685" s="91">
        <v>0</v>
      </c>
      <c r="E685" s="92">
        <v>0</v>
      </c>
      <c r="F685" s="92">
        <v>0</v>
      </c>
      <c r="G685" s="92">
        <v>0</v>
      </c>
      <c r="H685" s="91">
        <v>0</v>
      </c>
      <c r="I685" s="91">
        <v>0</v>
      </c>
      <c r="J685" s="93">
        <v>0</v>
      </c>
      <c r="K685" s="93">
        <v>0</v>
      </c>
      <c r="L685" s="93">
        <v>0</v>
      </c>
      <c r="M685" s="93">
        <v>0</v>
      </c>
      <c r="N685" s="94">
        <v>0</v>
      </c>
      <c r="O685" s="94" t="str">
        <v/>
      </c>
      <c r="P685" s="93">
        <v>0</v>
      </c>
      <c r="Q685" s="92">
        <v>0</v>
      </c>
    </row>
    <row r="686" spans="2:17" x14ac:dyDescent="0.25">
      <c r="B686" s="92">
        <v>0</v>
      </c>
      <c r="C686" s="90">
        <v>0</v>
      </c>
      <c r="D686" s="91">
        <v>0</v>
      </c>
      <c r="E686" s="92">
        <v>0</v>
      </c>
      <c r="F686" s="92">
        <v>0</v>
      </c>
      <c r="G686" s="92">
        <v>0</v>
      </c>
      <c r="H686" s="91">
        <v>0</v>
      </c>
      <c r="I686" s="91">
        <v>0</v>
      </c>
      <c r="J686" s="93">
        <v>0</v>
      </c>
      <c r="K686" s="93">
        <v>0</v>
      </c>
      <c r="L686" s="93">
        <v>0</v>
      </c>
      <c r="M686" s="93">
        <v>0</v>
      </c>
      <c r="N686" s="94">
        <v>0</v>
      </c>
      <c r="O686" s="94" t="str">
        <v/>
      </c>
      <c r="P686" s="93">
        <v>0</v>
      </c>
      <c r="Q686" s="92">
        <v>0</v>
      </c>
    </row>
    <row r="687" spans="2:17" x14ac:dyDescent="0.25">
      <c r="B687" s="92">
        <v>0</v>
      </c>
      <c r="C687" s="90">
        <v>0</v>
      </c>
      <c r="D687" s="91">
        <v>0</v>
      </c>
      <c r="E687" s="92">
        <v>0</v>
      </c>
      <c r="F687" s="92">
        <v>0</v>
      </c>
      <c r="G687" s="92">
        <v>0</v>
      </c>
      <c r="H687" s="91">
        <v>0</v>
      </c>
      <c r="I687" s="91">
        <v>0</v>
      </c>
      <c r="J687" s="93">
        <v>0</v>
      </c>
      <c r="K687" s="93">
        <v>0</v>
      </c>
      <c r="L687" s="93">
        <v>0</v>
      </c>
      <c r="M687" s="93">
        <v>0</v>
      </c>
      <c r="N687" s="94">
        <v>0</v>
      </c>
      <c r="O687" s="94" t="str">
        <v/>
      </c>
      <c r="P687" s="93">
        <v>0</v>
      </c>
      <c r="Q687" s="92">
        <v>0</v>
      </c>
    </row>
    <row r="688" spans="2:17" x14ac:dyDescent="0.25">
      <c r="B688" s="92">
        <v>0</v>
      </c>
      <c r="C688" s="90">
        <v>0</v>
      </c>
      <c r="D688" s="91">
        <v>0</v>
      </c>
      <c r="E688" s="92">
        <v>0</v>
      </c>
      <c r="F688" s="92">
        <v>0</v>
      </c>
      <c r="G688" s="92">
        <v>0</v>
      </c>
      <c r="H688" s="91">
        <v>0</v>
      </c>
      <c r="I688" s="91">
        <v>0</v>
      </c>
      <c r="J688" s="93">
        <v>0</v>
      </c>
      <c r="K688" s="93">
        <v>0</v>
      </c>
      <c r="L688" s="93">
        <v>0</v>
      </c>
      <c r="M688" s="93">
        <v>0</v>
      </c>
      <c r="N688" s="94">
        <v>0</v>
      </c>
      <c r="O688" s="94" t="str">
        <v/>
      </c>
      <c r="P688" s="93">
        <v>0</v>
      </c>
      <c r="Q688" s="92">
        <v>0</v>
      </c>
    </row>
    <row r="689" spans="2:17" x14ac:dyDescent="0.25">
      <c r="B689" s="92">
        <v>0</v>
      </c>
      <c r="C689" s="90">
        <v>0</v>
      </c>
      <c r="D689" s="91">
        <v>0</v>
      </c>
      <c r="E689" s="92">
        <v>0</v>
      </c>
      <c r="F689" s="92">
        <v>0</v>
      </c>
      <c r="G689" s="92">
        <v>0</v>
      </c>
      <c r="H689" s="91">
        <v>0</v>
      </c>
      <c r="I689" s="91">
        <v>0</v>
      </c>
      <c r="J689" s="93">
        <v>0</v>
      </c>
      <c r="K689" s="93">
        <v>0</v>
      </c>
      <c r="L689" s="93">
        <v>0</v>
      </c>
      <c r="M689" s="93">
        <v>0</v>
      </c>
      <c r="N689" s="94">
        <v>0</v>
      </c>
      <c r="O689" s="94" t="str">
        <v/>
      </c>
      <c r="P689" s="93">
        <v>0</v>
      </c>
      <c r="Q689" s="92">
        <v>0</v>
      </c>
    </row>
    <row r="690" spans="2:17" x14ac:dyDescent="0.25">
      <c r="B690" s="92">
        <v>0</v>
      </c>
      <c r="C690" s="90">
        <v>0</v>
      </c>
      <c r="D690" s="91">
        <v>0</v>
      </c>
      <c r="E690" s="92">
        <v>0</v>
      </c>
      <c r="F690" s="92">
        <v>0</v>
      </c>
      <c r="G690" s="92">
        <v>0</v>
      </c>
      <c r="H690" s="91">
        <v>0</v>
      </c>
      <c r="I690" s="91">
        <v>0</v>
      </c>
      <c r="J690" s="93">
        <v>0</v>
      </c>
      <c r="K690" s="93">
        <v>0</v>
      </c>
      <c r="L690" s="93">
        <v>0</v>
      </c>
      <c r="M690" s="93">
        <v>0</v>
      </c>
      <c r="N690" s="94">
        <v>0</v>
      </c>
      <c r="O690" s="94" t="str">
        <v/>
      </c>
      <c r="P690" s="93">
        <v>0</v>
      </c>
      <c r="Q690" s="92">
        <v>0</v>
      </c>
    </row>
    <row r="691" spans="2:17" x14ac:dyDescent="0.25">
      <c r="B691" s="92">
        <v>0</v>
      </c>
      <c r="C691" s="90">
        <v>0</v>
      </c>
      <c r="D691" s="91">
        <v>0</v>
      </c>
      <c r="E691" s="92">
        <v>0</v>
      </c>
      <c r="F691" s="92">
        <v>0</v>
      </c>
      <c r="G691" s="92">
        <v>0</v>
      </c>
      <c r="H691" s="91">
        <v>0</v>
      </c>
      <c r="I691" s="91">
        <v>0</v>
      </c>
      <c r="J691" s="93">
        <v>0</v>
      </c>
      <c r="K691" s="93">
        <v>0</v>
      </c>
      <c r="L691" s="93">
        <v>0</v>
      </c>
      <c r="M691" s="93">
        <v>0</v>
      </c>
      <c r="N691" s="94">
        <v>0</v>
      </c>
      <c r="O691" s="94" t="str">
        <v/>
      </c>
      <c r="P691" s="93">
        <v>0</v>
      </c>
      <c r="Q691" s="92">
        <v>0</v>
      </c>
    </row>
    <row r="692" spans="2:17" x14ac:dyDescent="0.25">
      <c r="B692" s="92">
        <v>0</v>
      </c>
      <c r="C692" s="90">
        <v>0</v>
      </c>
      <c r="D692" s="91">
        <v>0</v>
      </c>
      <c r="E692" s="92">
        <v>0</v>
      </c>
      <c r="F692" s="92">
        <v>0</v>
      </c>
      <c r="G692" s="92">
        <v>0</v>
      </c>
      <c r="H692" s="91">
        <v>0</v>
      </c>
      <c r="I692" s="91">
        <v>0</v>
      </c>
      <c r="J692" s="93">
        <v>0</v>
      </c>
      <c r="K692" s="93">
        <v>0</v>
      </c>
      <c r="L692" s="93">
        <v>0</v>
      </c>
      <c r="M692" s="93">
        <v>0</v>
      </c>
      <c r="N692" s="94">
        <v>0</v>
      </c>
      <c r="O692" s="94" t="str">
        <v/>
      </c>
      <c r="P692" s="93">
        <v>0</v>
      </c>
      <c r="Q692" s="92">
        <v>0</v>
      </c>
    </row>
    <row r="693" spans="2:17" x14ac:dyDescent="0.25">
      <c r="B693" s="92">
        <v>0</v>
      </c>
      <c r="C693" s="90">
        <v>0</v>
      </c>
      <c r="D693" s="91">
        <v>0</v>
      </c>
      <c r="E693" s="92">
        <v>0</v>
      </c>
      <c r="F693" s="92">
        <v>0</v>
      </c>
      <c r="G693" s="92">
        <v>0</v>
      </c>
      <c r="H693" s="91">
        <v>0</v>
      </c>
      <c r="I693" s="91">
        <v>0</v>
      </c>
      <c r="J693" s="93">
        <v>0</v>
      </c>
      <c r="K693" s="93">
        <v>0</v>
      </c>
      <c r="L693" s="93">
        <v>0</v>
      </c>
      <c r="M693" s="93">
        <v>0</v>
      </c>
      <c r="N693" s="94">
        <v>0</v>
      </c>
      <c r="O693" s="94" t="str">
        <v/>
      </c>
      <c r="P693" s="93">
        <v>0</v>
      </c>
      <c r="Q693" s="92">
        <v>0</v>
      </c>
    </row>
    <row r="694" spans="2:17" x14ac:dyDescent="0.25">
      <c r="B694" s="92">
        <v>0</v>
      </c>
      <c r="C694" s="90">
        <v>0</v>
      </c>
      <c r="D694" s="91">
        <v>0</v>
      </c>
      <c r="E694" s="92">
        <v>0</v>
      </c>
      <c r="F694" s="92">
        <v>0</v>
      </c>
      <c r="G694" s="92">
        <v>0</v>
      </c>
      <c r="H694" s="91">
        <v>0</v>
      </c>
      <c r="I694" s="91">
        <v>0</v>
      </c>
      <c r="J694" s="93">
        <v>0</v>
      </c>
      <c r="K694" s="93">
        <v>0</v>
      </c>
      <c r="L694" s="93">
        <v>0</v>
      </c>
      <c r="M694" s="93">
        <v>0</v>
      </c>
      <c r="N694" s="94">
        <v>0</v>
      </c>
      <c r="O694" s="94" t="str">
        <v/>
      </c>
      <c r="P694" s="93">
        <v>0</v>
      </c>
      <c r="Q694" s="92">
        <v>0</v>
      </c>
    </row>
    <row r="695" spans="2:17" x14ac:dyDescent="0.25">
      <c r="B695" s="92">
        <v>0</v>
      </c>
      <c r="C695" s="90">
        <v>0</v>
      </c>
      <c r="D695" s="91">
        <v>0</v>
      </c>
      <c r="E695" s="92">
        <v>0</v>
      </c>
      <c r="F695" s="92">
        <v>0</v>
      </c>
      <c r="G695" s="92">
        <v>0</v>
      </c>
      <c r="H695" s="91">
        <v>0</v>
      </c>
      <c r="I695" s="91">
        <v>0</v>
      </c>
      <c r="J695" s="93">
        <v>0</v>
      </c>
      <c r="K695" s="93">
        <v>0</v>
      </c>
      <c r="L695" s="93">
        <v>0</v>
      </c>
      <c r="M695" s="93">
        <v>0</v>
      </c>
      <c r="N695" s="94">
        <v>0</v>
      </c>
      <c r="O695" s="94" t="str">
        <v/>
      </c>
      <c r="P695" s="93">
        <v>0</v>
      </c>
      <c r="Q695" s="92">
        <v>0</v>
      </c>
    </row>
    <row r="696" spans="2:17" x14ac:dyDescent="0.25">
      <c r="B696" s="92">
        <v>0</v>
      </c>
      <c r="C696" s="90">
        <v>0</v>
      </c>
      <c r="D696" s="91">
        <v>0</v>
      </c>
      <c r="E696" s="92">
        <v>0</v>
      </c>
      <c r="F696" s="92">
        <v>0</v>
      </c>
      <c r="G696" s="92">
        <v>0</v>
      </c>
      <c r="H696" s="91">
        <v>0</v>
      </c>
      <c r="I696" s="91">
        <v>0</v>
      </c>
      <c r="J696" s="93">
        <v>0</v>
      </c>
      <c r="K696" s="93">
        <v>0</v>
      </c>
      <c r="L696" s="93">
        <v>0</v>
      </c>
      <c r="M696" s="93">
        <v>0</v>
      </c>
      <c r="N696" s="94">
        <v>0</v>
      </c>
      <c r="O696" s="94" t="str">
        <v/>
      </c>
      <c r="P696" s="93">
        <v>0</v>
      </c>
      <c r="Q696" s="92">
        <v>0</v>
      </c>
    </row>
    <row r="697" spans="2:17" x14ac:dyDescent="0.25">
      <c r="B697" s="92">
        <v>0</v>
      </c>
      <c r="C697" s="90">
        <v>0</v>
      </c>
      <c r="D697" s="91">
        <v>0</v>
      </c>
      <c r="E697" s="92">
        <v>0</v>
      </c>
      <c r="F697" s="92">
        <v>0</v>
      </c>
      <c r="G697" s="92">
        <v>0</v>
      </c>
      <c r="H697" s="91">
        <v>0</v>
      </c>
      <c r="I697" s="91">
        <v>0</v>
      </c>
      <c r="J697" s="93">
        <v>0</v>
      </c>
      <c r="K697" s="93">
        <v>0</v>
      </c>
      <c r="L697" s="93">
        <v>0</v>
      </c>
      <c r="M697" s="93">
        <v>0</v>
      </c>
      <c r="N697" s="94">
        <v>0</v>
      </c>
      <c r="O697" s="94" t="str">
        <v/>
      </c>
      <c r="P697" s="93">
        <v>0</v>
      </c>
      <c r="Q697" s="92">
        <v>0</v>
      </c>
    </row>
    <row r="698" spans="2:17" x14ac:dyDescent="0.25">
      <c r="B698" s="92">
        <v>0</v>
      </c>
      <c r="C698" s="90">
        <v>0</v>
      </c>
      <c r="D698" s="91">
        <v>0</v>
      </c>
      <c r="E698" s="92">
        <v>0</v>
      </c>
      <c r="F698" s="92">
        <v>0</v>
      </c>
      <c r="G698" s="92">
        <v>0</v>
      </c>
      <c r="H698" s="91">
        <v>0</v>
      </c>
      <c r="I698" s="91">
        <v>0</v>
      </c>
      <c r="J698" s="93">
        <v>0</v>
      </c>
      <c r="K698" s="93">
        <v>0</v>
      </c>
      <c r="L698" s="93">
        <v>0</v>
      </c>
      <c r="M698" s="93">
        <v>0</v>
      </c>
      <c r="N698" s="94">
        <v>0</v>
      </c>
      <c r="O698" s="94" t="str">
        <v/>
      </c>
      <c r="P698" s="93">
        <v>0</v>
      </c>
      <c r="Q698" s="92">
        <v>0</v>
      </c>
    </row>
    <row r="699" spans="2:17" x14ac:dyDescent="0.25">
      <c r="B699" s="92">
        <v>0</v>
      </c>
      <c r="C699" s="90">
        <v>0</v>
      </c>
      <c r="D699" s="91">
        <v>0</v>
      </c>
      <c r="E699" s="92">
        <v>0</v>
      </c>
      <c r="F699" s="92">
        <v>0</v>
      </c>
      <c r="G699" s="92">
        <v>0</v>
      </c>
      <c r="H699" s="91">
        <v>0</v>
      </c>
      <c r="I699" s="91">
        <v>0</v>
      </c>
      <c r="J699" s="93">
        <v>0</v>
      </c>
      <c r="K699" s="93">
        <v>0</v>
      </c>
      <c r="L699" s="93">
        <v>0</v>
      </c>
      <c r="M699" s="93">
        <v>0</v>
      </c>
      <c r="N699" s="94">
        <v>0</v>
      </c>
      <c r="O699" s="94" t="str">
        <v/>
      </c>
      <c r="P699" s="93">
        <v>0</v>
      </c>
      <c r="Q699" s="92">
        <v>0</v>
      </c>
    </row>
    <row r="700" spans="2:17" x14ac:dyDescent="0.25">
      <c r="B700" s="92">
        <v>0</v>
      </c>
      <c r="C700" s="90">
        <v>0</v>
      </c>
      <c r="D700" s="91">
        <v>0</v>
      </c>
      <c r="E700" s="92">
        <v>0</v>
      </c>
      <c r="F700" s="92">
        <v>0</v>
      </c>
      <c r="G700" s="92">
        <v>0</v>
      </c>
      <c r="H700" s="91">
        <v>0</v>
      </c>
      <c r="I700" s="91">
        <v>0</v>
      </c>
      <c r="J700" s="93">
        <v>0</v>
      </c>
      <c r="K700" s="93">
        <v>0</v>
      </c>
      <c r="L700" s="93">
        <v>0</v>
      </c>
      <c r="M700" s="93">
        <v>0</v>
      </c>
      <c r="N700" s="94">
        <v>0</v>
      </c>
      <c r="O700" s="94" t="str">
        <v/>
      </c>
      <c r="P700" s="93">
        <v>0</v>
      </c>
      <c r="Q700" s="92">
        <v>0</v>
      </c>
    </row>
    <row r="701" spans="2:17" x14ac:dyDescent="0.25">
      <c r="B701" s="92">
        <v>0</v>
      </c>
      <c r="C701" s="90">
        <v>0</v>
      </c>
      <c r="D701" s="91">
        <v>0</v>
      </c>
      <c r="E701" s="92">
        <v>0</v>
      </c>
      <c r="F701" s="92">
        <v>0</v>
      </c>
      <c r="G701" s="92">
        <v>0</v>
      </c>
      <c r="H701" s="91">
        <v>0</v>
      </c>
      <c r="I701" s="91">
        <v>0</v>
      </c>
      <c r="J701" s="93">
        <v>0</v>
      </c>
      <c r="K701" s="93">
        <v>0</v>
      </c>
      <c r="L701" s="93">
        <v>0</v>
      </c>
      <c r="M701" s="93">
        <v>0</v>
      </c>
      <c r="N701" s="94">
        <v>0</v>
      </c>
      <c r="O701" s="94" t="str">
        <v/>
      </c>
      <c r="P701" s="93">
        <v>0</v>
      </c>
      <c r="Q701" s="92">
        <v>0</v>
      </c>
    </row>
    <row r="702" spans="2:17" x14ac:dyDescent="0.25">
      <c r="B702" s="92">
        <v>0</v>
      </c>
      <c r="C702" s="90">
        <v>0</v>
      </c>
      <c r="D702" s="91">
        <v>0</v>
      </c>
      <c r="E702" s="92">
        <v>0</v>
      </c>
      <c r="F702" s="92">
        <v>0</v>
      </c>
      <c r="G702" s="92">
        <v>0</v>
      </c>
      <c r="H702" s="91">
        <v>0</v>
      </c>
      <c r="I702" s="91">
        <v>0</v>
      </c>
      <c r="J702" s="93">
        <v>0</v>
      </c>
      <c r="K702" s="93">
        <v>0</v>
      </c>
      <c r="L702" s="93">
        <v>0</v>
      </c>
      <c r="M702" s="93">
        <v>0</v>
      </c>
      <c r="N702" s="94">
        <v>0</v>
      </c>
      <c r="O702" s="94" t="str">
        <v/>
      </c>
      <c r="P702" s="93">
        <v>0</v>
      </c>
      <c r="Q702" s="92">
        <v>0</v>
      </c>
    </row>
    <row r="703" spans="2:17" x14ac:dyDescent="0.25">
      <c r="B703" s="92">
        <v>0</v>
      </c>
      <c r="C703" s="90">
        <v>0</v>
      </c>
      <c r="D703" s="91">
        <v>0</v>
      </c>
      <c r="E703" s="92">
        <v>0</v>
      </c>
      <c r="F703" s="92">
        <v>0</v>
      </c>
      <c r="G703" s="92">
        <v>0</v>
      </c>
      <c r="H703" s="91">
        <v>0</v>
      </c>
      <c r="I703" s="91">
        <v>0</v>
      </c>
      <c r="J703" s="93">
        <v>0</v>
      </c>
      <c r="K703" s="93">
        <v>0</v>
      </c>
      <c r="L703" s="93">
        <v>0</v>
      </c>
      <c r="M703" s="93">
        <v>0</v>
      </c>
      <c r="N703" s="94">
        <v>0</v>
      </c>
      <c r="O703" s="94" t="str">
        <v/>
      </c>
      <c r="P703" s="93">
        <v>0</v>
      </c>
      <c r="Q703" s="92">
        <v>0</v>
      </c>
    </row>
    <row r="704" spans="2:17" x14ac:dyDescent="0.25">
      <c r="B704" s="92">
        <v>0</v>
      </c>
      <c r="C704" s="90">
        <v>0</v>
      </c>
      <c r="D704" s="91">
        <v>0</v>
      </c>
      <c r="E704" s="92">
        <v>0</v>
      </c>
      <c r="F704" s="92">
        <v>0</v>
      </c>
      <c r="G704" s="92">
        <v>0</v>
      </c>
      <c r="H704" s="91">
        <v>0</v>
      </c>
      <c r="I704" s="91">
        <v>0</v>
      </c>
      <c r="J704" s="93">
        <v>0</v>
      </c>
      <c r="K704" s="93">
        <v>0</v>
      </c>
      <c r="L704" s="93">
        <v>0</v>
      </c>
      <c r="M704" s="93">
        <v>0</v>
      </c>
      <c r="N704" s="94">
        <v>0</v>
      </c>
      <c r="O704" s="94" t="str">
        <v/>
      </c>
      <c r="P704" s="93">
        <v>0</v>
      </c>
      <c r="Q704" s="92">
        <v>0</v>
      </c>
    </row>
    <row r="705" spans="2:17" x14ac:dyDescent="0.25">
      <c r="B705" s="92">
        <v>0</v>
      </c>
      <c r="C705" s="90">
        <v>0</v>
      </c>
      <c r="D705" s="91">
        <v>0</v>
      </c>
      <c r="E705" s="92">
        <v>0</v>
      </c>
      <c r="F705" s="92">
        <v>0</v>
      </c>
      <c r="G705" s="92">
        <v>0</v>
      </c>
      <c r="H705" s="91">
        <v>0</v>
      </c>
      <c r="I705" s="91">
        <v>0</v>
      </c>
      <c r="J705" s="93">
        <v>0</v>
      </c>
      <c r="K705" s="93">
        <v>0</v>
      </c>
      <c r="L705" s="93">
        <v>0</v>
      </c>
      <c r="M705" s="93">
        <v>0</v>
      </c>
      <c r="N705" s="94">
        <v>0</v>
      </c>
      <c r="O705" s="94" t="str">
        <v/>
      </c>
      <c r="P705" s="93">
        <v>0</v>
      </c>
      <c r="Q705" s="92">
        <v>0</v>
      </c>
    </row>
    <row r="706" spans="2:17" x14ac:dyDescent="0.25">
      <c r="B706" s="92">
        <v>0</v>
      </c>
      <c r="C706" s="90">
        <v>0</v>
      </c>
      <c r="D706" s="91">
        <v>0</v>
      </c>
      <c r="E706" s="92">
        <v>0</v>
      </c>
      <c r="F706" s="92">
        <v>0</v>
      </c>
      <c r="G706" s="92">
        <v>0</v>
      </c>
      <c r="H706" s="91">
        <v>0</v>
      </c>
      <c r="I706" s="91">
        <v>0</v>
      </c>
      <c r="J706" s="93">
        <v>0</v>
      </c>
      <c r="K706" s="93">
        <v>0</v>
      </c>
      <c r="L706" s="93">
        <v>0</v>
      </c>
      <c r="M706" s="93">
        <v>0</v>
      </c>
      <c r="N706" s="94">
        <v>0</v>
      </c>
      <c r="O706" s="94" t="str">
        <v/>
      </c>
      <c r="P706" s="93">
        <v>0</v>
      </c>
      <c r="Q706" s="92">
        <v>0</v>
      </c>
    </row>
    <row r="707" spans="2:17" x14ac:dyDescent="0.25">
      <c r="B707" s="92">
        <v>0</v>
      </c>
      <c r="C707" s="90">
        <v>0</v>
      </c>
      <c r="D707" s="91">
        <v>0</v>
      </c>
      <c r="E707" s="92">
        <v>0</v>
      </c>
      <c r="F707" s="92">
        <v>0</v>
      </c>
      <c r="G707" s="92">
        <v>0</v>
      </c>
      <c r="H707" s="91">
        <v>0</v>
      </c>
      <c r="I707" s="91">
        <v>0</v>
      </c>
      <c r="J707" s="93">
        <v>0</v>
      </c>
      <c r="K707" s="93">
        <v>0</v>
      </c>
      <c r="L707" s="93">
        <v>0</v>
      </c>
      <c r="M707" s="93">
        <v>0</v>
      </c>
      <c r="N707" s="94">
        <v>0</v>
      </c>
      <c r="O707" s="94" t="str">
        <v/>
      </c>
      <c r="P707" s="93">
        <v>0</v>
      </c>
      <c r="Q707" s="92">
        <v>0</v>
      </c>
    </row>
    <row r="708" spans="2:17" x14ac:dyDescent="0.25">
      <c r="B708" s="92">
        <v>0</v>
      </c>
      <c r="C708" s="90">
        <v>0</v>
      </c>
      <c r="D708" s="91">
        <v>0</v>
      </c>
      <c r="E708" s="92">
        <v>0</v>
      </c>
      <c r="F708" s="92">
        <v>0</v>
      </c>
      <c r="G708" s="92">
        <v>0</v>
      </c>
      <c r="H708" s="91">
        <v>0</v>
      </c>
      <c r="I708" s="91">
        <v>0</v>
      </c>
      <c r="J708" s="93">
        <v>0</v>
      </c>
      <c r="K708" s="93">
        <v>0</v>
      </c>
      <c r="L708" s="93">
        <v>0</v>
      </c>
      <c r="M708" s="93">
        <v>0</v>
      </c>
      <c r="N708" s="94">
        <v>0</v>
      </c>
      <c r="O708" s="94" t="str">
        <v/>
      </c>
      <c r="P708" s="93">
        <v>0</v>
      </c>
      <c r="Q708" s="92">
        <v>0</v>
      </c>
    </row>
    <row r="709" spans="2:17" x14ac:dyDescent="0.25">
      <c r="B709" s="92">
        <v>0</v>
      </c>
      <c r="C709" s="90">
        <v>0</v>
      </c>
      <c r="D709" s="91">
        <v>0</v>
      </c>
      <c r="E709" s="92">
        <v>0</v>
      </c>
      <c r="F709" s="92">
        <v>0</v>
      </c>
      <c r="G709" s="92">
        <v>0</v>
      </c>
      <c r="H709" s="91">
        <v>0</v>
      </c>
      <c r="I709" s="91">
        <v>0</v>
      </c>
      <c r="J709" s="93">
        <v>0</v>
      </c>
      <c r="K709" s="93">
        <v>0</v>
      </c>
      <c r="L709" s="93">
        <v>0</v>
      </c>
      <c r="M709" s="93">
        <v>0</v>
      </c>
      <c r="N709" s="94">
        <v>0</v>
      </c>
      <c r="O709" s="94" t="str">
        <v/>
      </c>
      <c r="P709" s="93">
        <v>0</v>
      </c>
      <c r="Q709" s="92">
        <v>0</v>
      </c>
    </row>
    <row r="710" spans="2:17" x14ac:dyDescent="0.25">
      <c r="B710" s="92">
        <v>0</v>
      </c>
      <c r="C710" s="90">
        <v>0</v>
      </c>
      <c r="D710" s="91">
        <v>0</v>
      </c>
      <c r="E710" s="92">
        <v>0</v>
      </c>
      <c r="F710" s="92">
        <v>0</v>
      </c>
      <c r="G710" s="92">
        <v>0</v>
      </c>
      <c r="H710" s="91">
        <v>0</v>
      </c>
      <c r="I710" s="91">
        <v>0</v>
      </c>
      <c r="J710" s="93">
        <v>0</v>
      </c>
      <c r="K710" s="93">
        <v>0</v>
      </c>
      <c r="L710" s="93">
        <v>0</v>
      </c>
      <c r="M710" s="93">
        <v>0</v>
      </c>
      <c r="N710" s="94">
        <v>0</v>
      </c>
      <c r="O710" s="94" t="str">
        <v/>
      </c>
      <c r="P710" s="93">
        <v>0</v>
      </c>
      <c r="Q710" s="92">
        <v>0</v>
      </c>
    </row>
    <row r="711" spans="2:17" x14ac:dyDescent="0.25">
      <c r="B711" s="92">
        <v>0</v>
      </c>
      <c r="C711" s="90">
        <v>0</v>
      </c>
      <c r="D711" s="91">
        <v>0</v>
      </c>
      <c r="E711" s="92">
        <v>0</v>
      </c>
      <c r="F711" s="92">
        <v>0</v>
      </c>
      <c r="G711" s="92">
        <v>0</v>
      </c>
      <c r="H711" s="91">
        <v>0</v>
      </c>
      <c r="I711" s="91">
        <v>0</v>
      </c>
      <c r="J711" s="93">
        <v>0</v>
      </c>
      <c r="K711" s="93">
        <v>0</v>
      </c>
      <c r="L711" s="93">
        <v>0</v>
      </c>
      <c r="M711" s="93">
        <v>0</v>
      </c>
      <c r="N711" s="94">
        <v>0</v>
      </c>
      <c r="O711" s="94" t="str">
        <v/>
      </c>
      <c r="P711" s="93">
        <v>0</v>
      </c>
      <c r="Q711" s="92">
        <v>0</v>
      </c>
    </row>
    <row r="712" spans="2:17" x14ac:dyDescent="0.25">
      <c r="B712" s="92">
        <v>0</v>
      </c>
      <c r="C712" s="90">
        <v>0</v>
      </c>
      <c r="D712" s="91">
        <v>0</v>
      </c>
      <c r="E712" s="92">
        <v>0</v>
      </c>
      <c r="F712" s="92">
        <v>0</v>
      </c>
      <c r="G712" s="92">
        <v>0</v>
      </c>
      <c r="H712" s="91">
        <v>0</v>
      </c>
      <c r="I712" s="91">
        <v>0</v>
      </c>
      <c r="J712" s="93">
        <v>0</v>
      </c>
      <c r="K712" s="93">
        <v>0</v>
      </c>
      <c r="L712" s="93">
        <v>0</v>
      </c>
      <c r="M712" s="93">
        <v>0</v>
      </c>
      <c r="N712" s="94">
        <v>0</v>
      </c>
      <c r="O712" s="94" t="str">
        <v/>
      </c>
      <c r="P712" s="93">
        <v>0</v>
      </c>
      <c r="Q712" s="92">
        <v>0</v>
      </c>
    </row>
    <row r="713" spans="2:17" x14ac:dyDescent="0.25">
      <c r="B713" s="92">
        <v>0</v>
      </c>
      <c r="C713" s="90">
        <v>0</v>
      </c>
      <c r="D713" s="91">
        <v>0</v>
      </c>
      <c r="E713" s="92">
        <v>0</v>
      </c>
      <c r="F713" s="92">
        <v>0</v>
      </c>
      <c r="G713" s="92">
        <v>0</v>
      </c>
      <c r="H713" s="91">
        <v>0</v>
      </c>
      <c r="I713" s="91">
        <v>0</v>
      </c>
      <c r="J713" s="93">
        <v>0</v>
      </c>
      <c r="K713" s="93">
        <v>0</v>
      </c>
      <c r="L713" s="93">
        <v>0</v>
      </c>
      <c r="M713" s="93">
        <v>0</v>
      </c>
      <c r="N713" s="94">
        <v>0</v>
      </c>
      <c r="O713" s="94" t="str">
        <v/>
      </c>
      <c r="P713" s="93">
        <v>0</v>
      </c>
      <c r="Q713" s="92">
        <v>0</v>
      </c>
    </row>
    <row r="714" spans="2:17" x14ac:dyDescent="0.25">
      <c r="B714" s="92">
        <v>0</v>
      </c>
      <c r="C714" s="90">
        <v>0</v>
      </c>
      <c r="D714" s="91">
        <v>0</v>
      </c>
      <c r="E714" s="92">
        <v>0</v>
      </c>
      <c r="F714" s="92">
        <v>0</v>
      </c>
      <c r="G714" s="92">
        <v>0</v>
      </c>
      <c r="H714" s="91">
        <v>0</v>
      </c>
      <c r="I714" s="91">
        <v>0</v>
      </c>
      <c r="J714" s="93">
        <v>0</v>
      </c>
      <c r="K714" s="93">
        <v>0</v>
      </c>
      <c r="L714" s="93">
        <v>0</v>
      </c>
      <c r="M714" s="93">
        <v>0</v>
      </c>
      <c r="N714" s="94">
        <v>0</v>
      </c>
      <c r="O714" s="94" t="str">
        <v/>
      </c>
      <c r="P714" s="93">
        <v>0</v>
      </c>
      <c r="Q714" s="92">
        <v>0</v>
      </c>
    </row>
    <row r="715" spans="2:17" x14ac:dyDescent="0.25">
      <c r="B715" s="92">
        <v>0</v>
      </c>
      <c r="C715" s="90">
        <v>0</v>
      </c>
      <c r="D715" s="91">
        <v>0</v>
      </c>
      <c r="E715" s="92">
        <v>0</v>
      </c>
      <c r="F715" s="92">
        <v>0</v>
      </c>
      <c r="G715" s="92">
        <v>0</v>
      </c>
      <c r="H715" s="91">
        <v>0</v>
      </c>
      <c r="I715" s="91">
        <v>0</v>
      </c>
      <c r="J715" s="93">
        <v>0</v>
      </c>
      <c r="K715" s="93">
        <v>0</v>
      </c>
      <c r="L715" s="93">
        <v>0</v>
      </c>
      <c r="M715" s="93">
        <v>0</v>
      </c>
      <c r="N715" s="94">
        <v>0</v>
      </c>
      <c r="O715" s="94" t="str">
        <v/>
      </c>
      <c r="P715" s="93">
        <v>0</v>
      </c>
      <c r="Q715" s="92">
        <v>0</v>
      </c>
    </row>
    <row r="716" spans="2:17" x14ac:dyDescent="0.25">
      <c r="B716" s="92">
        <v>0</v>
      </c>
      <c r="C716" s="90">
        <v>0</v>
      </c>
      <c r="D716" s="91">
        <v>0</v>
      </c>
      <c r="E716" s="92">
        <v>0</v>
      </c>
      <c r="F716" s="92">
        <v>0</v>
      </c>
      <c r="G716" s="92">
        <v>0</v>
      </c>
      <c r="H716" s="91">
        <v>0</v>
      </c>
      <c r="I716" s="91">
        <v>0</v>
      </c>
      <c r="J716" s="93">
        <v>0</v>
      </c>
      <c r="K716" s="93">
        <v>0</v>
      </c>
      <c r="L716" s="93">
        <v>0</v>
      </c>
      <c r="M716" s="93">
        <v>0</v>
      </c>
      <c r="N716" s="94">
        <v>0</v>
      </c>
      <c r="O716" s="94" t="str">
        <v/>
      </c>
      <c r="P716" s="93">
        <v>0</v>
      </c>
      <c r="Q716" s="92">
        <v>0</v>
      </c>
    </row>
    <row r="717" spans="2:17" x14ac:dyDescent="0.25">
      <c r="B717" s="92">
        <v>0</v>
      </c>
      <c r="C717" s="90">
        <v>0</v>
      </c>
      <c r="D717" s="91">
        <v>0</v>
      </c>
      <c r="E717" s="92">
        <v>0</v>
      </c>
      <c r="F717" s="92">
        <v>0</v>
      </c>
      <c r="G717" s="92">
        <v>0</v>
      </c>
      <c r="H717" s="91">
        <v>0</v>
      </c>
      <c r="I717" s="91">
        <v>0</v>
      </c>
      <c r="J717" s="93">
        <v>0</v>
      </c>
      <c r="K717" s="93">
        <v>0</v>
      </c>
      <c r="L717" s="93">
        <v>0</v>
      </c>
      <c r="M717" s="93">
        <v>0</v>
      </c>
      <c r="N717" s="94">
        <v>0</v>
      </c>
      <c r="O717" s="94" t="str">
        <v/>
      </c>
      <c r="P717" s="93">
        <v>0</v>
      </c>
      <c r="Q717" s="92">
        <v>0</v>
      </c>
    </row>
    <row r="718" spans="2:17" x14ac:dyDescent="0.25">
      <c r="B718" s="92">
        <v>0</v>
      </c>
      <c r="C718" s="90">
        <v>0</v>
      </c>
      <c r="D718" s="91">
        <v>0</v>
      </c>
      <c r="E718" s="92">
        <v>0</v>
      </c>
      <c r="F718" s="92">
        <v>0</v>
      </c>
      <c r="G718" s="92">
        <v>0</v>
      </c>
      <c r="H718" s="91">
        <v>0</v>
      </c>
      <c r="I718" s="91">
        <v>0</v>
      </c>
      <c r="J718" s="93">
        <v>0</v>
      </c>
      <c r="K718" s="93">
        <v>0</v>
      </c>
      <c r="L718" s="93">
        <v>0</v>
      </c>
      <c r="M718" s="93">
        <v>0</v>
      </c>
      <c r="N718" s="94">
        <v>0</v>
      </c>
      <c r="O718" s="94" t="str">
        <v/>
      </c>
      <c r="P718" s="93">
        <v>0</v>
      </c>
      <c r="Q718" s="92">
        <v>0</v>
      </c>
    </row>
    <row r="719" spans="2:17" x14ac:dyDescent="0.25">
      <c r="B719" s="92">
        <v>0</v>
      </c>
      <c r="C719" s="90">
        <v>0</v>
      </c>
      <c r="D719" s="91">
        <v>0</v>
      </c>
      <c r="E719" s="92">
        <v>0</v>
      </c>
      <c r="F719" s="92">
        <v>0</v>
      </c>
      <c r="G719" s="92">
        <v>0</v>
      </c>
      <c r="H719" s="91">
        <v>0</v>
      </c>
      <c r="I719" s="91">
        <v>0</v>
      </c>
      <c r="J719" s="93">
        <v>0</v>
      </c>
      <c r="K719" s="93">
        <v>0</v>
      </c>
      <c r="L719" s="93">
        <v>0</v>
      </c>
      <c r="M719" s="93">
        <v>0</v>
      </c>
      <c r="N719" s="94">
        <v>0</v>
      </c>
      <c r="O719" s="94" t="str">
        <v/>
      </c>
      <c r="P719" s="93">
        <v>0</v>
      </c>
      <c r="Q719" s="92">
        <v>0</v>
      </c>
    </row>
    <row r="720" spans="2:17" x14ac:dyDescent="0.25">
      <c r="B720" s="92">
        <v>0</v>
      </c>
      <c r="C720" s="90">
        <v>0</v>
      </c>
      <c r="D720" s="91">
        <v>0</v>
      </c>
      <c r="E720" s="92">
        <v>0</v>
      </c>
      <c r="F720" s="92">
        <v>0</v>
      </c>
      <c r="G720" s="92">
        <v>0</v>
      </c>
      <c r="H720" s="91">
        <v>0</v>
      </c>
      <c r="I720" s="91">
        <v>0</v>
      </c>
      <c r="J720" s="93">
        <v>0</v>
      </c>
      <c r="K720" s="93">
        <v>0</v>
      </c>
      <c r="L720" s="93">
        <v>0</v>
      </c>
      <c r="M720" s="93">
        <v>0</v>
      </c>
      <c r="N720" s="94">
        <v>0</v>
      </c>
      <c r="O720" s="94" t="str">
        <v/>
      </c>
      <c r="P720" s="93">
        <v>0</v>
      </c>
      <c r="Q720" s="92">
        <v>0</v>
      </c>
    </row>
    <row r="721" spans="2:17" x14ac:dyDescent="0.25">
      <c r="B721" s="92">
        <v>0</v>
      </c>
      <c r="C721" s="90">
        <v>0</v>
      </c>
      <c r="D721" s="91">
        <v>0</v>
      </c>
      <c r="E721" s="92">
        <v>0</v>
      </c>
      <c r="F721" s="92">
        <v>0</v>
      </c>
      <c r="G721" s="92">
        <v>0</v>
      </c>
      <c r="H721" s="91">
        <v>0</v>
      </c>
      <c r="I721" s="91">
        <v>0</v>
      </c>
      <c r="J721" s="93">
        <v>0</v>
      </c>
      <c r="K721" s="93">
        <v>0</v>
      </c>
      <c r="L721" s="93">
        <v>0</v>
      </c>
      <c r="M721" s="93">
        <v>0</v>
      </c>
      <c r="N721" s="94">
        <v>0</v>
      </c>
      <c r="O721" s="94" t="str">
        <v/>
      </c>
      <c r="P721" s="93">
        <v>0</v>
      </c>
      <c r="Q721" s="92">
        <v>0</v>
      </c>
    </row>
    <row r="722" spans="2:17" x14ac:dyDescent="0.25">
      <c r="B722" s="92">
        <v>0</v>
      </c>
      <c r="C722" s="90">
        <v>0</v>
      </c>
      <c r="D722" s="91">
        <v>0</v>
      </c>
      <c r="E722" s="92">
        <v>0</v>
      </c>
      <c r="F722" s="92">
        <v>0</v>
      </c>
      <c r="G722" s="92">
        <v>0</v>
      </c>
      <c r="H722" s="91">
        <v>0</v>
      </c>
      <c r="I722" s="91">
        <v>0</v>
      </c>
      <c r="J722" s="93">
        <v>0</v>
      </c>
      <c r="K722" s="93">
        <v>0</v>
      </c>
      <c r="L722" s="93">
        <v>0</v>
      </c>
      <c r="M722" s="93">
        <v>0</v>
      </c>
      <c r="N722" s="94">
        <v>0</v>
      </c>
      <c r="O722" s="94" t="str">
        <v/>
      </c>
      <c r="P722" s="93">
        <v>0</v>
      </c>
      <c r="Q722" s="92">
        <v>0</v>
      </c>
    </row>
    <row r="723" spans="2:17" x14ac:dyDescent="0.25">
      <c r="B723" s="92">
        <v>0</v>
      </c>
      <c r="C723" s="90">
        <v>0</v>
      </c>
      <c r="D723" s="91">
        <v>0</v>
      </c>
      <c r="E723" s="92">
        <v>0</v>
      </c>
      <c r="F723" s="92">
        <v>0</v>
      </c>
      <c r="G723" s="92">
        <v>0</v>
      </c>
      <c r="H723" s="91">
        <v>0</v>
      </c>
      <c r="I723" s="91">
        <v>0</v>
      </c>
      <c r="J723" s="93">
        <v>0</v>
      </c>
      <c r="K723" s="93">
        <v>0</v>
      </c>
      <c r="L723" s="93">
        <v>0</v>
      </c>
      <c r="M723" s="93">
        <v>0</v>
      </c>
      <c r="N723" s="94">
        <v>0</v>
      </c>
      <c r="O723" s="94" t="str">
        <v/>
      </c>
      <c r="P723" s="93">
        <v>0</v>
      </c>
      <c r="Q723" s="92">
        <v>0</v>
      </c>
    </row>
    <row r="724" spans="2:17" x14ac:dyDescent="0.25">
      <c r="B724" s="92">
        <v>0</v>
      </c>
      <c r="C724" s="90">
        <v>0</v>
      </c>
      <c r="D724" s="91">
        <v>0</v>
      </c>
      <c r="E724" s="92">
        <v>0</v>
      </c>
      <c r="F724" s="92">
        <v>0</v>
      </c>
      <c r="G724" s="92">
        <v>0</v>
      </c>
      <c r="H724" s="91">
        <v>0</v>
      </c>
      <c r="I724" s="91">
        <v>0</v>
      </c>
      <c r="J724" s="93">
        <v>0</v>
      </c>
      <c r="K724" s="93">
        <v>0</v>
      </c>
      <c r="L724" s="93">
        <v>0</v>
      </c>
      <c r="M724" s="93">
        <v>0</v>
      </c>
      <c r="N724" s="94">
        <v>0</v>
      </c>
      <c r="O724" s="94" t="str">
        <v/>
      </c>
      <c r="P724" s="93">
        <v>0</v>
      </c>
      <c r="Q724" s="92">
        <v>0</v>
      </c>
    </row>
    <row r="725" spans="2:17" x14ac:dyDescent="0.25">
      <c r="B725" s="92">
        <v>0</v>
      </c>
      <c r="C725" s="90">
        <v>0</v>
      </c>
      <c r="D725" s="91">
        <v>0</v>
      </c>
      <c r="E725" s="92">
        <v>0</v>
      </c>
      <c r="F725" s="92">
        <v>0</v>
      </c>
      <c r="G725" s="92">
        <v>0</v>
      </c>
      <c r="H725" s="91">
        <v>0</v>
      </c>
      <c r="I725" s="91">
        <v>0</v>
      </c>
      <c r="J725" s="93">
        <v>0</v>
      </c>
      <c r="K725" s="93">
        <v>0</v>
      </c>
      <c r="L725" s="93">
        <v>0</v>
      </c>
      <c r="M725" s="93">
        <v>0</v>
      </c>
      <c r="N725" s="94">
        <v>0</v>
      </c>
      <c r="O725" s="94" t="str">
        <v/>
      </c>
      <c r="P725" s="93">
        <v>0</v>
      </c>
      <c r="Q725" s="92">
        <v>0</v>
      </c>
    </row>
    <row r="726" spans="2:17" x14ac:dyDescent="0.25">
      <c r="B726" s="92">
        <v>0</v>
      </c>
      <c r="C726" s="90">
        <v>0</v>
      </c>
      <c r="D726" s="91">
        <v>0</v>
      </c>
      <c r="E726" s="92">
        <v>0</v>
      </c>
      <c r="F726" s="92">
        <v>0</v>
      </c>
      <c r="G726" s="92">
        <v>0</v>
      </c>
      <c r="H726" s="91">
        <v>0</v>
      </c>
      <c r="I726" s="91">
        <v>0</v>
      </c>
      <c r="J726" s="93">
        <v>0</v>
      </c>
      <c r="K726" s="93">
        <v>0</v>
      </c>
      <c r="L726" s="93">
        <v>0</v>
      </c>
      <c r="M726" s="93">
        <v>0</v>
      </c>
      <c r="N726" s="94">
        <v>0</v>
      </c>
      <c r="O726" s="94" t="str">
        <v/>
      </c>
      <c r="P726" s="93">
        <v>0</v>
      </c>
      <c r="Q726" s="92">
        <v>0</v>
      </c>
    </row>
    <row r="727" spans="2:17" x14ac:dyDescent="0.25">
      <c r="B727" s="92">
        <v>0</v>
      </c>
      <c r="C727" s="90">
        <v>0</v>
      </c>
      <c r="D727" s="91">
        <v>0</v>
      </c>
      <c r="E727" s="92">
        <v>0</v>
      </c>
      <c r="F727" s="92">
        <v>0</v>
      </c>
      <c r="G727" s="92">
        <v>0</v>
      </c>
      <c r="H727" s="91">
        <v>0</v>
      </c>
      <c r="I727" s="91">
        <v>0</v>
      </c>
      <c r="J727" s="93">
        <v>0</v>
      </c>
      <c r="K727" s="93">
        <v>0</v>
      </c>
      <c r="L727" s="93">
        <v>0</v>
      </c>
      <c r="M727" s="93">
        <v>0</v>
      </c>
      <c r="N727" s="94">
        <v>0</v>
      </c>
      <c r="O727" s="94" t="str">
        <v/>
      </c>
      <c r="P727" s="93">
        <v>0</v>
      </c>
      <c r="Q727" s="92">
        <v>0</v>
      </c>
    </row>
    <row r="728" spans="2:17" x14ac:dyDescent="0.25">
      <c r="B728" s="92">
        <v>0</v>
      </c>
      <c r="C728" s="90">
        <v>0</v>
      </c>
      <c r="D728" s="91">
        <v>0</v>
      </c>
      <c r="E728" s="92">
        <v>0</v>
      </c>
      <c r="F728" s="92">
        <v>0</v>
      </c>
      <c r="G728" s="92">
        <v>0</v>
      </c>
      <c r="H728" s="91">
        <v>0</v>
      </c>
      <c r="I728" s="91">
        <v>0</v>
      </c>
      <c r="J728" s="93">
        <v>0</v>
      </c>
      <c r="K728" s="93">
        <v>0</v>
      </c>
      <c r="L728" s="93">
        <v>0</v>
      </c>
      <c r="M728" s="93">
        <v>0</v>
      </c>
      <c r="N728" s="94">
        <v>0</v>
      </c>
      <c r="O728" s="94" t="str">
        <v/>
      </c>
      <c r="P728" s="93">
        <v>0</v>
      </c>
      <c r="Q728" s="92">
        <v>0</v>
      </c>
    </row>
    <row r="729" spans="2:17" x14ac:dyDescent="0.25">
      <c r="B729" s="92">
        <v>0</v>
      </c>
      <c r="C729" s="90">
        <v>0</v>
      </c>
      <c r="D729" s="91">
        <v>0</v>
      </c>
      <c r="E729" s="92">
        <v>0</v>
      </c>
      <c r="F729" s="92">
        <v>0</v>
      </c>
      <c r="G729" s="92">
        <v>0</v>
      </c>
      <c r="H729" s="91">
        <v>0</v>
      </c>
      <c r="I729" s="91">
        <v>0</v>
      </c>
      <c r="J729" s="93">
        <v>0</v>
      </c>
      <c r="K729" s="93">
        <v>0</v>
      </c>
      <c r="L729" s="93">
        <v>0</v>
      </c>
      <c r="M729" s="93">
        <v>0</v>
      </c>
      <c r="N729" s="94">
        <v>0</v>
      </c>
      <c r="O729" s="94" t="str">
        <v/>
      </c>
      <c r="P729" s="93">
        <v>0</v>
      </c>
      <c r="Q729" s="92">
        <v>0</v>
      </c>
    </row>
    <row r="730" spans="2:17" x14ac:dyDescent="0.25">
      <c r="B730" s="92">
        <v>0</v>
      </c>
      <c r="C730" s="90">
        <v>0</v>
      </c>
      <c r="D730" s="91">
        <v>0</v>
      </c>
      <c r="E730" s="92">
        <v>0</v>
      </c>
      <c r="F730" s="92">
        <v>0</v>
      </c>
      <c r="G730" s="92">
        <v>0</v>
      </c>
      <c r="H730" s="91">
        <v>0</v>
      </c>
      <c r="I730" s="91">
        <v>0</v>
      </c>
      <c r="J730" s="93">
        <v>0</v>
      </c>
      <c r="K730" s="93">
        <v>0</v>
      </c>
      <c r="L730" s="93">
        <v>0</v>
      </c>
      <c r="M730" s="93">
        <v>0</v>
      </c>
      <c r="N730" s="94">
        <v>0</v>
      </c>
      <c r="O730" s="94" t="str">
        <v/>
      </c>
      <c r="P730" s="93">
        <v>0</v>
      </c>
      <c r="Q730" s="92">
        <v>0</v>
      </c>
    </row>
    <row r="731" spans="2:17" x14ac:dyDescent="0.25">
      <c r="B731" s="92">
        <v>0</v>
      </c>
      <c r="C731" s="90">
        <v>0</v>
      </c>
      <c r="D731" s="91">
        <v>0</v>
      </c>
      <c r="E731" s="92">
        <v>0</v>
      </c>
      <c r="F731" s="92">
        <v>0</v>
      </c>
      <c r="G731" s="92">
        <v>0</v>
      </c>
      <c r="H731" s="91">
        <v>0</v>
      </c>
      <c r="I731" s="91">
        <v>0</v>
      </c>
      <c r="J731" s="93">
        <v>0</v>
      </c>
      <c r="K731" s="93">
        <v>0</v>
      </c>
      <c r="L731" s="93">
        <v>0</v>
      </c>
      <c r="M731" s="93">
        <v>0</v>
      </c>
      <c r="N731" s="94">
        <v>0</v>
      </c>
      <c r="O731" s="94" t="str">
        <v/>
      </c>
      <c r="P731" s="93">
        <v>0</v>
      </c>
      <c r="Q731" s="92">
        <v>0</v>
      </c>
    </row>
    <row r="732" spans="2:17" x14ac:dyDescent="0.25">
      <c r="B732" s="92">
        <v>0</v>
      </c>
      <c r="C732" s="90">
        <v>0</v>
      </c>
      <c r="D732" s="91">
        <v>0</v>
      </c>
      <c r="E732" s="92">
        <v>0</v>
      </c>
      <c r="F732" s="92">
        <v>0</v>
      </c>
      <c r="G732" s="92">
        <v>0</v>
      </c>
      <c r="H732" s="91">
        <v>0</v>
      </c>
      <c r="I732" s="91">
        <v>0</v>
      </c>
      <c r="J732" s="93">
        <v>0</v>
      </c>
      <c r="K732" s="93">
        <v>0</v>
      </c>
      <c r="L732" s="93">
        <v>0</v>
      </c>
      <c r="M732" s="93">
        <v>0</v>
      </c>
      <c r="N732" s="94">
        <v>0</v>
      </c>
      <c r="O732" s="94" t="str">
        <v/>
      </c>
      <c r="P732" s="93">
        <v>0</v>
      </c>
      <c r="Q732" s="92">
        <v>0</v>
      </c>
    </row>
    <row r="733" spans="2:17" x14ac:dyDescent="0.25">
      <c r="B733" s="92">
        <v>0</v>
      </c>
      <c r="C733" s="90">
        <v>0</v>
      </c>
      <c r="D733" s="91">
        <v>0</v>
      </c>
      <c r="E733" s="92">
        <v>0</v>
      </c>
      <c r="F733" s="92">
        <v>0</v>
      </c>
      <c r="G733" s="92">
        <v>0</v>
      </c>
      <c r="H733" s="91">
        <v>0</v>
      </c>
      <c r="I733" s="91">
        <v>0</v>
      </c>
      <c r="J733" s="93">
        <v>0</v>
      </c>
      <c r="K733" s="93">
        <v>0</v>
      </c>
      <c r="L733" s="93">
        <v>0</v>
      </c>
      <c r="M733" s="93">
        <v>0</v>
      </c>
      <c r="N733" s="94">
        <v>0</v>
      </c>
      <c r="O733" s="94" t="str">
        <v/>
      </c>
      <c r="P733" s="93">
        <v>0</v>
      </c>
      <c r="Q733" s="92">
        <v>0</v>
      </c>
    </row>
    <row r="734" spans="2:17" x14ac:dyDescent="0.25">
      <c r="B734" s="92">
        <v>0</v>
      </c>
      <c r="C734" s="90">
        <v>0</v>
      </c>
      <c r="D734" s="91">
        <v>0</v>
      </c>
      <c r="E734" s="92">
        <v>0</v>
      </c>
      <c r="F734" s="92">
        <v>0</v>
      </c>
      <c r="G734" s="92">
        <v>0</v>
      </c>
      <c r="H734" s="91">
        <v>0</v>
      </c>
      <c r="I734" s="91">
        <v>0</v>
      </c>
      <c r="J734" s="93">
        <v>0</v>
      </c>
      <c r="K734" s="93">
        <v>0</v>
      </c>
      <c r="L734" s="93">
        <v>0</v>
      </c>
      <c r="M734" s="93">
        <v>0</v>
      </c>
      <c r="N734" s="94">
        <v>0</v>
      </c>
      <c r="O734" s="94" t="str">
        <v/>
      </c>
      <c r="P734" s="93">
        <v>0</v>
      </c>
      <c r="Q734" s="92">
        <v>0</v>
      </c>
    </row>
    <row r="735" spans="2:17" x14ac:dyDescent="0.25">
      <c r="B735" s="92">
        <v>0</v>
      </c>
      <c r="C735" s="90">
        <v>0</v>
      </c>
      <c r="D735" s="91">
        <v>0</v>
      </c>
      <c r="E735" s="92">
        <v>0</v>
      </c>
      <c r="F735" s="92">
        <v>0</v>
      </c>
      <c r="G735" s="92">
        <v>0</v>
      </c>
      <c r="H735" s="91">
        <v>0</v>
      </c>
      <c r="I735" s="91">
        <v>0</v>
      </c>
      <c r="J735" s="93">
        <v>0</v>
      </c>
      <c r="K735" s="93">
        <v>0</v>
      </c>
      <c r="L735" s="93">
        <v>0</v>
      </c>
      <c r="M735" s="93">
        <v>0</v>
      </c>
      <c r="N735" s="94">
        <v>0</v>
      </c>
      <c r="O735" s="94" t="str">
        <v/>
      </c>
      <c r="P735" s="93">
        <v>0</v>
      </c>
      <c r="Q735" s="92">
        <v>0</v>
      </c>
    </row>
    <row r="736" spans="2:17" x14ac:dyDescent="0.25">
      <c r="B736" s="92">
        <v>0</v>
      </c>
      <c r="C736" s="90">
        <v>0</v>
      </c>
      <c r="D736" s="91">
        <v>0</v>
      </c>
      <c r="E736" s="92">
        <v>0</v>
      </c>
      <c r="F736" s="92">
        <v>0</v>
      </c>
      <c r="G736" s="92">
        <v>0</v>
      </c>
      <c r="H736" s="91">
        <v>0</v>
      </c>
      <c r="I736" s="91">
        <v>0</v>
      </c>
      <c r="J736" s="93">
        <v>0</v>
      </c>
      <c r="K736" s="93">
        <v>0</v>
      </c>
      <c r="L736" s="93">
        <v>0</v>
      </c>
      <c r="M736" s="93">
        <v>0</v>
      </c>
      <c r="N736" s="94">
        <v>0</v>
      </c>
      <c r="O736" s="94" t="str">
        <v/>
      </c>
      <c r="P736" s="93">
        <v>0</v>
      </c>
      <c r="Q736" s="92">
        <v>0</v>
      </c>
    </row>
    <row r="737" spans="2:17" x14ac:dyDescent="0.25">
      <c r="B737" s="92">
        <v>0</v>
      </c>
      <c r="C737" s="90">
        <v>0</v>
      </c>
      <c r="D737" s="91">
        <v>0</v>
      </c>
      <c r="E737" s="92">
        <v>0</v>
      </c>
      <c r="F737" s="92">
        <v>0</v>
      </c>
      <c r="G737" s="92">
        <v>0</v>
      </c>
      <c r="H737" s="91">
        <v>0</v>
      </c>
      <c r="I737" s="91">
        <v>0</v>
      </c>
      <c r="J737" s="93">
        <v>0</v>
      </c>
      <c r="K737" s="93">
        <v>0</v>
      </c>
      <c r="L737" s="93">
        <v>0</v>
      </c>
      <c r="M737" s="93">
        <v>0</v>
      </c>
      <c r="N737" s="94">
        <v>0</v>
      </c>
      <c r="O737" s="94" t="str">
        <v/>
      </c>
      <c r="P737" s="93">
        <v>0</v>
      </c>
      <c r="Q737" s="92">
        <v>0</v>
      </c>
    </row>
    <row r="738" spans="2:17" x14ac:dyDescent="0.25">
      <c r="B738" s="92">
        <v>0</v>
      </c>
      <c r="C738" s="90">
        <v>0</v>
      </c>
      <c r="D738" s="91">
        <v>0</v>
      </c>
      <c r="E738" s="92">
        <v>0</v>
      </c>
      <c r="F738" s="92">
        <v>0</v>
      </c>
      <c r="G738" s="92">
        <v>0</v>
      </c>
      <c r="H738" s="91">
        <v>0</v>
      </c>
      <c r="I738" s="91">
        <v>0</v>
      </c>
      <c r="J738" s="93">
        <v>0</v>
      </c>
      <c r="K738" s="93">
        <v>0</v>
      </c>
      <c r="L738" s="93">
        <v>0</v>
      </c>
      <c r="M738" s="93">
        <v>0</v>
      </c>
      <c r="N738" s="94">
        <v>0</v>
      </c>
      <c r="O738" s="94" t="str">
        <v/>
      </c>
      <c r="P738" s="93">
        <v>0</v>
      </c>
      <c r="Q738" s="92">
        <v>0</v>
      </c>
    </row>
    <row r="739" spans="2:17" x14ac:dyDescent="0.25">
      <c r="B739" s="92">
        <v>0</v>
      </c>
      <c r="C739" s="90">
        <v>0</v>
      </c>
      <c r="D739" s="91">
        <v>0</v>
      </c>
      <c r="E739" s="92">
        <v>0</v>
      </c>
      <c r="F739" s="92">
        <v>0</v>
      </c>
      <c r="G739" s="92">
        <v>0</v>
      </c>
      <c r="H739" s="91">
        <v>0</v>
      </c>
      <c r="I739" s="91">
        <v>0</v>
      </c>
      <c r="J739" s="93">
        <v>0</v>
      </c>
      <c r="K739" s="93">
        <v>0</v>
      </c>
      <c r="L739" s="93">
        <v>0</v>
      </c>
      <c r="M739" s="93">
        <v>0</v>
      </c>
      <c r="N739" s="94">
        <v>0</v>
      </c>
      <c r="O739" s="94" t="str">
        <v/>
      </c>
      <c r="P739" s="93">
        <v>0</v>
      </c>
      <c r="Q739" s="92">
        <v>0</v>
      </c>
    </row>
    <row r="740" spans="2:17" x14ac:dyDescent="0.25">
      <c r="B740" s="92">
        <v>0</v>
      </c>
      <c r="C740" s="90">
        <v>0</v>
      </c>
      <c r="D740" s="91">
        <v>0</v>
      </c>
      <c r="E740" s="92">
        <v>0</v>
      </c>
      <c r="F740" s="92">
        <v>0</v>
      </c>
      <c r="G740" s="92">
        <v>0</v>
      </c>
      <c r="H740" s="91">
        <v>0</v>
      </c>
      <c r="I740" s="91">
        <v>0</v>
      </c>
      <c r="J740" s="93">
        <v>0</v>
      </c>
      <c r="K740" s="93">
        <v>0</v>
      </c>
      <c r="L740" s="93">
        <v>0</v>
      </c>
      <c r="M740" s="93">
        <v>0</v>
      </c>
      <c r="N740" s="94">
        <v>0</v>
      </c>
      <c r="O740" s="94" t="str">
        <v/>
      </c>
      <c r="P740" s="93">
        <v>0</v>
      </c>
      <c r="Q740" s="92">
        <v>0</v>
      </c>
    </row>
    <row r="741" spans="2:17" x14ac:dyDescent="0.25">
      <c r="B741" s="92">
        <v>0</v>
      </c>
      <c r="C741" s="90">
        <v>0</v>
      </c>
      <c r="D741" s="91">
        <v>0</v>
      </c>
      <c r="E741" s="92">
        <v>0</v>
      </c>
      <c r="F741" s="92">
        <v>0</v>
      </c>
      <c r="G741" s="92">
        <v>0</v>
      </c>
      <c r="H741" s="91">
        <v>0</v>
      </c>
      <c r="I741" s="91">
        <v>0</v>
      </c>
      <c r="J741" s="93">
        <v>0</v>
      </c>
      <c r="K741" s="93">
        <v>0</v>
      </c>
      <c r="L741" s="93">
        <v>0</v>
      </c>
      <c r="M741" s="93">
        <v>0</v>
      </c>
      <c r="N741" s="94">
        <v>0</v>
      </c>
      <c r="O741" s="94" t="str">
        <v/>
      </c>
      <c r="P741" s="93">
        <v>0</v>
      </c>
      <c r="Q741" s="92">
        <v>0</v>
      </c>
    </row>
    <row r="742" spans="2:17" x14ac:dyDescent="0.25">
      <c r="B742" s="92">
        <v>0</v>
      </c>
      <c r="C742" s="90">
        <v>0</v>
      </c>
      <c r="D742" s="91">
        <v>0</v>
      </c>
      <c r="E742" s="92">
        <v>0</v>
      </c>
      <c r="F742" s="92">
        <v>0</v>
      </c>
      <c r="G742" s="92">
        <v>0</v>
      </c>
      <c r="H742" s="91">
        <v>0</v>
      </c>
      <c r="I742" s="91">
        <v>0</v>
      </c>
      <c r="J742" s="93">
        <v>0</v>
      </c>
      <c r="K742" s="93">
        <v>0</v>
      </c>
      <c r="L742" s="93">
        <v>0</v>
      </c>
      <c r="M742" s="93">
        <v>0</v>
      </c>
      <c r="N742" s="94">
        <v>0</v>
      </c>
      <c r="O742" s="94" t="str">
        <v/>
      </c>
      <c r="P742" s="93">
        <v>0</v>
      </c>
      <c r="Q742" s="92">
        <v>0</v>
      </c>
    </row>
    <row r="743" spans="2:17" x14ac:dyDescent="0.25">
      <c r="B743" s="92">
        <v>0</v>
      </c>
      <c r="C743" s="90">
        <v>0</v>
      </c>
      <c r="D743" s="91">
        <v>0</v>
      </c>
      <c r="E743" s="92">
        <v>0</v>
      </c>
      <c r="F743" s="92">
        <v>0</v>
      </c>
      <c r="G743" s="92">
        <v>0</v>
      </c>
      <c r="H743" s="91">
        <v>0</v>
      </c>
      <c r="I743" s="91">
        <v>0</v>
      </c>
      <c r="J743" s="93">
        <v>0</v>
      </c>
      <c r="K743" s="93">
        <v>0</v>
      </c>
      <c r="L743" s="93">
        <v>0</v>
      </c>
      <c r="M743" s="93">
        <v>0</v>
      </c>
      <c r="N743" s="94">
        <v>0</v>
      </c>
      <c r="O743" s="94" t="str">
        <v/>
      </c>
      <c r="P743" s="93">
        <v>0</v>
      </c>
      <c r="Q743" s="92">
        <v>0</v>
      </c>
    </row>
    <row r="744" spans="2:17" x14ac:dyDescent="0.25">
      <c r="B744" s="92">
        <v>0</v>
      </c>
      <c r="C744" s="90">
        <v>0</v>
      </c>
      <c r="D744" s="91">
        <v>0</v>
      </c>
      <c r="E744" s="92">
        <v>0</v>
      </c>
      <c r="F744" s="92">
        <v>0</v>
      </c>
      <c r="G744" s="92">
        <v>0</v>
      </c>
      <c r="H744" s="91">
        <v>0</v>
      </c>
      <c r="I744" s="91">
        <v>0</v>
      </c>
      <c r="J744" s="93">
        <v>0</v>
      </c>
      <c r="K744" s="93">
        <v>0</v>
      </c>
      <c r="L744" s="93">
        <v>0</v>
      </c>
      <c r="M744" s="93">
        <v>0</v>
      </c>
      <c r="N744" s="94">
        <v>0</v>
      </c>
      <c r="O744" s="94" t="str">
        <v/>
      </c>
      <c r="P744" s="93">
        <v>0</v>
      </c>
      <c r="Q744" s="92">
        <v>0</v>
      </c>
    </row>
    <row r="745" spans="2:17" x14ac:dyDescent="0.25">
      <c r="B745" s="92">
        <v>0</v>
      </c>
      <c r="C745" s="90">
        <v>0</v>
      </c>
      <c r="D745" s="91">
        <v>0</v>
      </c>
      <c r="E745" s="92">
        <v>0</v>
      </c>
      <c r="F745" s="92">
        <v>0</v>
      </c>
      <c r="G745" s="92">
        <v>0</v>
      </c>
      <c r="H745" s="91">
        <v>0</v>
      </c>
      <c r="I745" s="91">
        <v>0</v>
      </c>
      <c r="J745" s="93">
        <v>0</v>
      </c>
      <c r="K745" s="93">
        <v>0</v>
      </c>
      <c r="L745" s="93">
        <v>0</v>
      </c>
      <c r="M745" s="93">
        <v>0</v>
      </c>
      <c r="N745" s="94">
        <v>0</v>
      </c>
      <c r="O745" s="94" t="str">
        <v/>
      </c>
      <c r="P745" s="93">
        <v>0</v>
      </c>
      <c r="Q745" s="92">
        <v>0</v>
      </c>
    </row>
    <row r="746" spans="2:17" x14ac:dyDescent="0.25">
      <c r="B746" s="92">
        <v>0</v>
      </c>
      <c r="C746" s="90">
        <v>0</v>
      </c>
      <c r="D746" s="91">
        <v>0</v>
      </c>
      <c r="E746" s="92">
        <v>0</v>
      </c>
      <c r="F746" s="92">
        <v>0</v>
      </c>
      <c r="G746" s="92">
        <v>0</v>
      </c>
      <c r="H746" s="91">
        <v>0</v>
      </c>
      <c r="I746" s="91">
        <v>0</v>
      </c>
      <c r="J746" s="93">
        <v>0</v>
      </c>
      <c r="K746" s="93">
        <v>0</v>
      </c>
      <c r="L746" s="93">
        <v>0</v>
      </c>
      <c r="M746" s="93">
        <v>0</v>
      </c>
      <c r="N746" s="94">
        <v>0</v>
      </c>
      <c r="O746" s="94" t="str">
        <v/>
      </c>
      <c r="P746" s="93">
        <v>0</v>
      </c>
      <c r="Q746" s="92">
        <v>0</v>
      </c>
    </row>
    <row r="747" spans="2:17" x14ac:dyDescent="0.25">
      <c r="B747" s="92">
        <v>0</v>
      </c>
      <c r="C747" s="90">
        <v>0</v>
      </c>
      <c r="D747" s="91">
        <v>0</v>
      </c>
      <c r="E747" s="92">
        <v>0</v>
      </c>
      <c r="F747" s="92">
        <v>0</v>
      </c>
      <c r="G747" s="92">
        <v>0</v>
      </c>
      <c r="H747" s="91">
        <v>0</v>
      </c>
      <c r="I747" s="91">
        <v>0</v>
      </c>
      <c r="J747" s="93">
        <v>0</v>
      </c>
      <c r="K747" s="93">
        <v>0</v>
      </c>
      <c r="L747" s="93">
        <v>0</v>
      </c>
      <c r="M747" s="93">
        <v>0</v>
      </c>
      <c r="N747" s="94">
        <v>0</v>
      </c>
      <c r="O747" s="94" t="str">
        <v/>
      </c>
      <c r="P747" s="93">
        <v>0</v>
      </c>
      <c r="Q747" s="92">
        <v>0</v>
      </c>
    </row>
    <row r="748" spans="2:17" x14ac:dyDescent="0.25">
      <c r="B748" s="92">
        <v>0</v>
      </c>
      <c r="C748" s="90">
        <v>0</v>
      </c>
      <c r="D748" s="91">
        <v>0</v>
      </c>
      <c r="E748" s="92">
        <v>0</v>
      </c>
      <c r="F748" s="92">
        <v>0</v>
      </c>
      <c r="G748" s="92">
        <v>0</v>
      </c>
      <c r="H748" s="91">
        <v>0</v>
      </c>
      <c r="I748" s="91">
        <v>0</v>
      </c>
      <c r="J748" s="93">
        <v>0</v>
      </c>
      <c r="K748" s="93">
        <v>0</v>
      </c>
      <c r="L748" s="93">
        <v>0</v>
      </c>
      <c r="M748" s="93">
        <v>0</v>
      </c>
      <c r="N748" s="94">
        <v>0</v>
      </c>
      <c r="O748" s="94" t="str">
        <v/>
      </c>
      <c r="P748" s="93">
        <v>0</v>
      </c>
      <c r="Q748" s="92">
        <v>0</v>
      </c>
    </row>
    <row r="749" spans="2:17" x14ac:dyDescent="0.25">
      <c r="B749" s="92">
        <v>0</v>
      </c>
      <c r="C749" s="90">
        <v>0</v>
      </c>
      <c r="D749" s="91">
        <v>0</v>
      </c>
      <c r="E749" s="92">
        <v>0</v>
      </c>
      <c r="F749" s="92">
        <v>0</v>
      </c>
      <c r="G749" s="92">
        <v>0</v>
      </c>
      <c r="H749" s="91">
        <v>0</v>
      </c>
      <c r="I749" s="91">
        <v>0</v>
      </c>
      <c r="J749" s="93">
        <v>0</v>
      </c>
      <c r="K749" s="93">
        <v>0</v>
      </c>
      <c r="L749" s="93">
        <v>0</v>
      </c>
      <c r="M749" s="93">
        <v>0</v>
      </c>
      <c r="N749" s="94">
        <v>0</v>
      </c>
      <c r="O749" s="94" t="str">
        <v/>
      </c>
      <c r="P749" s="93">
        <v>0</v>
      </c>
      <c r="Q749" s="92">
        <v>0</v>
      </c>
    </row>
    <row r="750" spans="2:17" x14ac:dyDescent="0.25">
      <c r="B750" s="92">
        <v>0</v>
      </c>
      <c r="C750" s="90">
        <v>0</v>
      </c>
      <c r="D750" s="91">
        <v>0</v>
      </c>
      <c r="E750" s="92">
        <v>0</v>
      </c>
      <c r="F750" s="92">
        <v>0</v>
      </c>
      <c r="G750" s="92">
        <v>0</v>
      </c>
      <c r="H750" s="91">
        <v>0</v>
      </c>
      <c r="I750" s="91">
        <v>0</v>
      </c>
      <c r="J750" s="93">
        <v>0</v>
      </c>
      <c r="K750" s="93">
        <v>0</v>
      </c>
      <c r="L750" s="93">
        <v>0</v>
      </c>
      <c r="M750" s="93">
        <v>0</v>
      </c>
      <c r="N750" s="94">
        <v>0</v>
      </c>
      <c r="O750" s="94" t="str">
        <v/>
      </c>
      <c r="P750" s="93">
        <v>0</v>
      </c>
      <c r="Q750" s="92">
        <v>0</v>
      </c>
    </row>
    <row r="751" spans="2:17" x14ac:dyDescent="0.25">
      <c r="B751" s="92">
        <v>0</v>
      </c>
      <c r="C751" s="90">
        <v>0</v>
      </c>
      <c r="D751" s="91">
        <v>0</v>
      </c>
      <c r="E751" s="92">
        <v>0</v>
      </c>
      <c r="F751" s="92">
        <v>0</v>
      </c>
      <c r="G751" s="92">
        <v>0</v>
      </c>
      <c r="H751" s="91">
        <v>0</v>
      </c>
      <c r="I751" s="91">
        <v>0</v>
      </c>
      <c r="J751" s="93">
        <v>0</v>
      </c>
      <c r="K751" s="93">
        <v>0</v>
      </c>
      <c r="L751" s="93">
        <v>0</v>
      </c>
      <c r="M751" s="93">
        <v>0</v>
      </c>
      <c r="N751" s="94">
        <v>0</v>
      </c>
      <c r="O751" s="94" t="str">
        <v/>
      </c>
      <c r="P751" s="93">
        <v>0</v>
      </c>
      <c r="Q751" s="92">
        <v>0</v>
      </c>
    </row>
    <row r="752" spans="2:17" x14ac:dyDescent="0.25">
      <c r="B752" s="92">
        <v>0</v>
      </c>
      <c r="C752" s="90">
        <v>0</v>
      </c>
      <c r="D752" s="91">
        <v>0</v>
      </c>
      <c r="E752" s="92">
        <v>0</v>
      </c>
      <c r="F752" s="92">
        <v>0</v>
      </c>
      <c r="G752" s="92">
        <v>0</v>
      </c>
      <c r="H752" s="91">
        <v>0</v>
      </c>
      <c r="I752" s="91">
        <v>0</v>
      </c>
      <c r="J752" s="93">
        <v>0</v>
      </c>
      <c r="K752" s="93">
        <v>0</v>
      </c>
      <c r="L752" s="93">
        <v>0</v>
      </c>
      <c r="M752" s="93">
        <v>0</v>
      </c>
      <c r="N752" s="94">
        <v>0</v>
      </c>
      <c r="O752" s="94" t="str">
        <v/>
      </c>
      <c r="P752" s="93">
        <v>0</v>
      </c>
      <c r="Q752" s="92">
        <v>0</v>
      </c>
    </row>
    <row r="753" spans="2:17" x14ac:dyDescent="0.25">
      <c r="B753" s="92">
        <v>0</v>
      </c>
      <c r="C753" s="90">
        <v>0</v>
      </c>
      <c r="D753" s="91">
        <v>0</v>
      </c>
      <c r="E753" s="92">
        <v>0</v>
      </c>
      <c r="F753" s="92">
        <v>0</v>
      </c>
      <c r="G753" s="92">
        <v>0</v>
      </c>
      <c r="H753" s="91">
        <v>0</v>
      </c>
      <c r="I753" s="91">
        <v>0</v>
      </c>
      <c r="J753" s="93">
        <v>0</v>
      </c>
      <c r="K753" s="93">
        <v>0</v>
      </c>
      <c r="L753" s="93">
        <v>0</v>
      </c>
      <c r="M753" s="93">
        <v>0</v>
      </c>
      <c r="N753" s="94">
        <v>0</v>
      </c>
      <c r="O753" s="94" t="str">
        <v/>
      </c>
      <c r="P753" s="93">
        <v>0</v>
      </c>
      <c r="Q753" s="92">
        <v>0</v>
      </c>
    </row>
    <row r="754" spans="2:17" x14ac:dyDescent="0.25">
      <c r="B754" s="92">
        <v>0</v>
      </c>
      <c r="C754" s="90">
        <v>0</v>
      </c>
      <c r="D754" s="91">
        <v>0</v>
      </c>
      <c r="E754" s="92">
        <v>0</v>
      </c>
      <c r="F754" s="92">
        <v>0</v>
      </c>
      <c r="G754" s="92">
        <v>0</v>
      </c>
      <c r="H754" s="91">
        <v>0</v>
      </c>
      <c r="I754" s="91">
        <v>0</v>
      </c>
      <c r="J754" s="93">
        <v>0</v>
      </c>
      <c r="K754" s="93">
        <v>0</v>
      </c>
      <c r="L754" s="93">
        <v>0</v>
      </c>
      <c r="M754" s="93">
        <v>0</v>
      </c>
      <c r="N754" s="94">
        <v>0</v>
      </c>
      <c r="O754" s="94" t="str">
        <v/>
      </c>
      <c r="P754" s="93">
        <v>0</v>
      </c>
      <c r="Q754" s="92">
        <v>0</v>
      </c>
    </row>
    <row r="755" spans="2:17" x14ac:dyDescent="0.25">
      <c r="B755" s="92">
        <v>0</v>
      </c>
      <c r="C755" s="90">
        <v>0</v>
      </c>
      <c r="D755" s="91">
        <v>0</v>
      </c>
      <c r="E755" s="92">
        <v>0</v>
      </c>
      <c r="F755" s="92">
        <v>0</v>
      </c>
      <c r="G755" s="92">
        <v>0</v>
      </c>
      <c r="H755" s="91">
        <v>0</v>
      </c>
      <c r="I755" s="91">
        <v>0</v>
      </c>
      <c r="J755" s="93">
        <v>0</v>
      </c>
      <c r="K755" s="93">
        <v>0</v>
      </c>
      <c r="L755" s="93">
        <v>0</v>
      </c>
      <c r="M755" s="93">
        <v>0</v>
      </c>
      <c r="N755" s="94">
        <v>0</v>
      </c>
      <c r="O755" s="94" t="str">
        <v/>
      </c>
      <c r="P755" s="93">
        <v>0</v>
      </c>
      <c r="Q755" s="92">
        <v>0</v>
      </c>
    </row>
    <row r="756" spans="2:17" x14ac:dyDescent="0.25">
      <c r="B756" s="92">
        <v>0</v>
      </c>
      <c r="C756" s="90">
        <v>0</v>
      </c>
      <c r="D756" s="91">
        <v>0</v>
      </c>
      <c r="E756" s="92">
        <v>0</v>
      </c>
      <c r="F756" s="92">
        <v>0</v>
      </c>
      <c r="G756" s="92">
        <v>0</v>
      </c>
      <c r="H756" s="91">
        <v>0</v>
      </c>
      <c r="I756" s="91">
        <v>0</v>
      </c>
      <c r="J756" s="93">
        <v>0</v>
      </c>
      <c r="K756" s="93">
        <v>0</v>
      </c>
      <c r="L756" s="93">
        <v>0</v>
      </c>
      <c r="M756" s="93">
        <v>0</v>
      </c>
      <c r="N756" s="94">
        <v>0</v>
      </c>
      <c r="O756" s="94" t="str">
        <v/>
      </c>
      <c r="P756" s="93">
        <v>0</v>
      </c>
      <c r="Q756" s="92">
        <v>0</v>
      </c>
    </row>
    <row r="757" spans="2:17" x14ac:dyDescent="0.25">
      <c r="B757" s="92">
        <v>0</v>
      </c>
      <c r="C757" s="90">
        <v>0</v>
      </c>
      <c r="D757" s="91">
        <v>0</v>
      </c>
      <c r="E757" s="92">
        <v>0</v>
      </c>
      <c r="F757" s="92">
        <v>0</v>
      </c>
      <c r="G757" s="92">
        <v>0</v>
      </c>
      <c r="H757" s="91">
        <v>0</v>
      </c>
      <c r="I757" s="91">
        <v>0</v>
      </c>
      <c r="J757" s="93">
        <v>0</v>
      </c>
      <c r="K757" s="93">
        <v>0</v>
      </c>
      <c r="L757" s="93">
        <v>0</v>
      </c>
      <c r="M757" s="93">
        <v>0</v>
      </c>
      <c r="N757" s="94">
        <v>0</v>
      </c>
      <c r="O757" s="94" t="str">
        <v/>
      </c>
      <c r="P757" s="93">
        <v>0</v>
      </c>
      <c r="Q757" s="92">
        <v>0</v>
      </c>
    </row>
    <row r="758" spans="2:17" x14ac:dyDescent="0.25">
      <c r="B758" s="92">
        <v>0</v>
      </c>
      <c r="C758" s="90">
        <v>0</v>
      </c>
      <c r="D758" s="91">
        <v>0</v>
      </c>
      <c r="E758" s="92">
        <v>0</v>
      </c>
      <c r="F758" s="92">
        <v>0</v>
      </c>
      <c r="G758" s="92">
        <v>0</v>
      </c>
      <c r="H758" s="91">
        <v>0</v>
      </c>
      <c r="I758" s="91">
        <v>0</v>
      </c>
      <c r="J758" s="93">
        <v>0</v>
      </c>
      <c r="K758" s="93">
        <v>0</v>
      </c>
      <c r="L758" s="93">
        <v>0</v>
      </c>
      <c r="M758" s="93">
        <v>0</v>
      </c>
      <c r="N758" s="94">
        <v>0</v>
      </c>
      <c r="O758" s="94" t="str">
        <v/>
      </c>
      <c r="P758" s="93">
        <v>0</v>
      </c>
      <c r="Q758" s="92">
        <v>0</v>
      </c>
    </row>
    <row r="759" spans="2:17" x14ac:dyDescent="0.25">
      <c r="B759" s="92">
        <v>0</v>
      </c>
      <c r="C759" s="90">
        <v>0</v>
      </c>
      <c r="D759" s="91">
        <v>0</v>
      </c>
      <c r="E759" s="92">
        <v>0</v>
      </c>
      <c r="F759" s="92">
        <v>0</v>
      </c>
      <c r="G759" s="92">
        <v>0</v>
      </c>
      <c r="H759" s="91">
        <v>0</v>
      </c>
      <c r="I759" s="91">
        <v>0</v>
      </c>
      <c r="J759" s="93">
        <v>0</v>
      </c>
      <c r="K759" s="93">
        <v>0</v>
      </c>
      <c r="L759" s="93">
        <v>0</v>
      </c>
      <c r="M759" s="93">
        <v>0</v>
      </c>
      <c r="N759" s="94">
        <v>0</v>
      </c>
      <c r="O759" s="94" t="str">
        <v/>
      </c>
      <c r="P759" s="93">
        <v>0</v>
      </c>
      <c r="Q759" s="92">
        <v>0</v>
      </c>
    </row>
    <row r="760" spans="2:17" x14ac:dyDescent="0.25">
      <c r="B760" s="92">
        <v>0</v>
      </c>
      <c r="C760" s="90">
        <v>0</v>
      </c>
      <c r="D760" s="91">
        <v>0</v>
      </c>
      <c r="E760" s="92">
        <v>0</v>
      </c>
      <c r="F760" s="92">
        <v>0</v>
      </c>
      <c r="G760" s="92">
        <v>0</v>
      </c>
      <c r="H760" s="91">
        <v>0</v>
      </c>
      <c r="I760" s="91">
        <v>0</v>
      </c>
      <c r="J760" s="93">
        <v>0</v>
      </c>
      <c r="K760" s="93">
        <v>0</v>
      </c>
      <c r="L760" s="93">
        <v>0</v>
      </c>
      <c r="M760" s="93">
        <v>0</v>
      </c>
      <c r="N760" s="94">
        <v>0</v>
      </c>
      <c r="O760" s="94" t="str">
        <v/>
      </c>
      <c r="P760" s="93">
        <v>0</v>
      </c>
      <c r="Q760" s="92">
        <v>0</v>
      </c>
    </row>
    <row r="761" spans="2:17" x14ac:dyDescent="0.25">
      <c r="B761" s="92">
        <v>0</v>
      </c>
      <c r="C761" s="90">
        <v>0</v>
      </c>
      <c r="D761" s="91">
        <v>0</v>
      </c>
      <c r="E761" s="92">
        <v>0</v>
      </c>
      <c r="F761" s="92">
        <v>0</v>
      </c>
      <c r="G761" s="92">
        <v>0</v>
      </c>
      <c r="H761" s="91">
        <v>0</v>
      </c>
      <c r="I761" s="91">
        <v>0</v>
      </c>
      <c r="J761" s="93">
        <v>0</v>
      </c>
      <c r="K761" s="93">
        <v>0</v>
      </c>
      <c r="L761" s="93">
        <v>0</v>
      </c>
      <c r="M761" s="93">
        <v>0</v>
      </c>
      <c r="N761" s="94">
        <v>0</v>
      </c>
      <c r="O761" s="94" t="str">
        <v/>
      </c>
      <c r="P761" s="93">
        <v>0</v>
      </c>
      <c r="Q761" s="92">
        <v>0</v>
      </c>
    </row>
    <row r="762" spans="2:17" x14ac:dyDescent="0.25">
      <c r="B762" s="92">
        <v>0</v>
      </c>
      <c r="C762" s="90">
        <v>0</v>
      </c>
      <c r="D762" s="91">
        <v>0</v>
      </c>
      <c r="E762" s="92">
        <v>0</v>
      </c>
      <c r="F762" s="92">
        <v>0</v>
      </c>
      <c r="G762" s="92">
        <v>0</v>
      </c>
      <c r="H762" s="91">
        <v>0</v>
      </c>
      <c r="I762" s="91">
        <v>0</v>
      </c>
      <c r="J762" s="93">
        <v>0</v>
      </c>
      <c r="K762" s="93">
        <v>0</v>
      </c>
      <c r="L762" s="93">
        <v>0</v>
      </c>
      <c r="M762" s="93">
        <v>0</v>
      </c>
      <c r="N762" s="94">
        <v>0</v>
      </c>
      <c r="O762" s="94" t="str">
        <v/>
      </c>
      <c r="P762" s="93">
        <v>0</v>
      </c>
      <c r="Q762" s="92">
        <v>0</v>
      </c>
    </row>
    <row r="763" spans="2:17" x14ac:dyDescent="0.25">
      <c r="B763" s="92">
        <v>0</v>
      </c>
      <c r="C763" s="90">
        <v>0</v>
      </c>
      <c r="D763" s="91">
        <v>0</v>
      </c>
      <c r="E763" s="92">
        <v>0</v>
      </c>
      <c r="F763" s="92">
        <v>0</v>
      </c>
      <c r="G763" s="92">
        <v>0</v>
      </c>
      <c r="H763" s="91">
        <v>0</v>
      </c>
      <c r="I763" s="91">
        <v>0</v>
      </c>
      <c r="J763" s="93">
        <v>0</v>
      </c>
      <c r="K763" s="93">
        <v>0</v>
      </c>
      <c r="L763" s="93">
        <v>0</v>
      </c>
      <c r="M763" s="93">
        <v>0</v>
      </c>
      <c r="N763" s="94">
        <v>0</v>
      </c>
      <c r="O763" s="94" t="str">
        <v/>
      </c>
      <c r="P763" s="93">
        <v>0</v>
      </c>
      <c r="Q763" s="92">
        <v>0</v>
      </c>
    </row>
    <row r="764" spans="2:17" x14ac:dyDescent="0.25">
      <c r="B764" s="92">
        <v>0</v>
      </c>
      <c r="C764" s="90">
        <v>0</v>
      </c>
      <c r="D764" s="91">
        <v>0</v>
      </c>
      <c r="E764" s="92">
        <v>0</v>
      </c>
      <c r="F764" s="92">
        <v>0</v>
      </c>
      <c r="G764" s="92">
        <v>0</v>
      </c>
      <c r="H764" s="91">
        <v>0</v>
      </c>
      <c r="I764" s="91">
        <v>0</v>
      </c>
      <c r="J764" s="93">
        <v>0</v>
      </c>
      <c r="K764" s="93">
        <v>0</v>
      </c>
      <c r="L764" s="93">
        <v>0</v>
      </c>
      <c r="M764" s="93">
        <v>0</v>
      </c>
      <c r="N764" s="94">
        <v>0</v>
      </c>
      <c r="O764" s="94" t="str">
        <v/>
      </c>
      <c r="P764" s="93">
        <v>0</v>
      </c>
      <c r="Q764" s="92">
        <v>0</v>
      </c>
    </row>
    <row r="765" spans="2:17" x14ac:dyDescent="0.25">
      <c r="B765" s="92">
        <v>0</v>
      </c>
      <c r="C765" s="90">
        <v>0</v>
      </c>
      <c r="D765" s="91">
        <v>0</v>
      </c>
      <c r="E765" s="92">
        <v>0</v>
      </c>
      <c r="F765" s="92">
        <v>0</v>
      </c>
      <c r="G765" s="92">
        <v>0</v>
      </c>
      <c r="H765" s="91">
        <v>0</v>
      </c>
      <c r="I765" s="91">
        <v>0</v>
      </c>
      <c r="J765" s="93">
        <v>0</v>
      </c>
      <c r="K765" s="93">
        <v>0</v>
      </c>
      <c r="L765" s="93">
        <v>0</v>
      </c>
      <c r="M765" s="93">
        <v>0</v>
      </c>
      <c r="N765" s="94">
        <v>0</v>
      </c>
      <c r="O765" s="94" t="str">
        <v/>
      </c>
      <c r="P765" s="93">
        <v>0</v>
      </c>
      <c r="Q765" s="92">
        <v>0</v>
      </c>
    </row>
    <row r="766" spans="2:17" x14ac:dyDescent="0.25">
      <c r="B766" s="92">
        <v>0</v>
      </c>
      <c r="C766" s="90">
        <v>0</v>
      </c>
      <c r="D766" s="91">
        <v>0</v>
      </c>
      <c r="E766" s="92">
        <v>0</v>
      </c>
      <c r="F766" s="92">
        <v>0</v>
      </c>
      <c r="G766" s="92">
        <v>0</v>
      </c>
      <c r="H766" s="91">
        <v>0</v>
      </c>
      <c r="I766" s="91">
        <v>0</v>
      </c>
      <c r="J766" s="93">
        <v>0</v>
      </c>
      <c r="K766" s="93">
        <v>0</v>
      </c>
      <c r="L766" s="93">
        <v>0</v>
      </c>
      <c r="M766" s="93">
        <v>0</v>
      </c>
      <c r="N766" s="94">
        <v>0</v>
      </c>
      <c r="O766" s="94" t="str">
        <v/>
      </c>
      <c r="P766" s="93">
        <v>0</v>
      </c>
      <c r="Q766" s="92">
        <v>0</v>
      </c>
    </row>
    <row r="767" spans="2:17" x14ac:dyDescent="0.25">
      <c r="B767" s="92">
        <v>0</v>
      </c>
      <c r="C767" s="90">
        <v>0</v>
      </c>
      <c r="D767" s="91">
        <v>0</v>
      </c>
      <c r="E767" s="92">
        <v>0</v>
      </c>
      <c r="F767" s="92">
        <v>0</v>
      </c>
      <c r="G767" s="92">
        <v>0</v>
      </c>
      <c r="H767" s="91">
        <v>0</v>
      </c>
      <c r="I767" s="91">
        <v>0</v>
      </c>
      <c r="J767" s="93">
        <v>0</v>
      </c>
      <c r="K767" s="93">
        <v>0</v>
      </c>
      <c r="L767" s="93">
        <v>0</v>
      </c>
      <c r="M767" s="93">
        <v>0</v>
      </c>
      <c r="N767" s="94">
        <v>0</v>
      </c>
      <c r="O767" s="94" t="str">
        <v/>
      </c>
      <c r="P767" s="93">
        <v>0</v>
      </c>
      <c r="Q767" s="92">
        <v>0</v>
      </c>
    </row>
    <row r="768" spans="2:17" x14ac:dyDescent="0.25">
      <c r="B768" s="92">
        <v>0</v>
      </c>
      <c r="C768" s="90">
        <v>0</v>
      </c>
      <c r="D768" s="91">
        <v>0</v>
      </c>
      <c r="E768" s="92">
        <v>0</v>
      </c>
      <c r="F768" s="92">
        <v>0</v>
      </c>
      <c r="G768" s="92">
        <v>0</v>
      </c>
      <c r="H768" s="91">
        <v>0</v>
      </c>
      <c r="I768" s="91">
        <v>0</v>
      </c>
      <c r="J768" s="93">
        <v>0</v>
      </c>
      <c r="K768" s="93">
        <v>0</v>
      </c>
      <c r="L768" s="93">
        <v>0</v>
      </c>
      <c r="M768" s="93">
        <v>0</v>
      </c>
      <c r="N768" s="94">
        <v>0</v>
      </c>
      <c r="O768" s="94" t="str">
        <v/>
      </c>
      <c r="P768" s="93">
        <v>0</v>
      </c>
      <c r="Q768" s="92">
        <v>0</v>
      </c>
    </row>
    <row r="769" spans="2:17" x14ac:dyDescent="0.25">
      <c r="B769" s="92">
        <v>0</v>
      </c>
      <c r="C769" s="90">
        <v>0</v>
      </c>
      <c r="D769" s="91">
        <v>0</v>
      </c>
      <c r="E769" s="92">
        <v>0</v>
      </c>
      <c r="F769" s="92">
        <v>0</v>
      </c>
      <c r="G769" s="92">
        <v>0</v>
      </c>
      <c r="H769" s="91">
        <v>0</v>
      </c>
      <c r="I769" s="91">
        <v>0</v>
      </c>
      <c r="J769" s="93">
        <v>0</v>
      </c>
      <c r="K769" s="93">
        <v>0</v>
      </c>
      <c r="L769" s="93">
        <v>0</v>
      </c>
      <c r="M769" s="93">
        <v>0</v>
      </c>
      <c r="N769" s="94">
        <v>0</v>
      </c>
      <c r="O769" s="94" t="str">
        <v/>
      </c>
      <c r="P769" s="93">
        <v>0</v>
      </c>
      <c r="Q769" s="92">
        <v>0</v>
      </c>
    </row>
    <row r="770" spans="2:17" x14ac:dyDescent="0.25">
      <c r="B770" s="92">
        <v>0</v>
      </c>
      <c r="C770" s="90">
        <v>0</v>
      </c>
      <c r="D770" s="91">
        <v>0</v>
      </c>
      <c r="E770" s="92">
        <v>0</v>
      </c>
      <c r="F770" s="92">
        <v>0</v>
      </c>
      <c r="G770" s="92">
        <v>0</v>
      </c>
      <c r="H770" s="91">
        <v>0</v>
      </c>
      <c r="I770" s="91">
        <v>0</v>
      </c>
      <c r="J770" s="93">
        <v>0</v>
      </c>
      <c r="K770" s="93">
        <v>0</v>
      </c>
      <c r="L770" s="93">
        <v>0</v>
      </c>
      <c r="M770" s="93">
        <v>0</v>
      </c>
      <c r="N770" s="94">
        <v>0</v>
      </c>
      <c r="O770" s="94" t="str">
        <v/>
      </c>
      <c r="P770" s="93">
        <v>0</v>
      </c>
      <c r="Q770" s="92">
        <v>0</v>
      </c>
    </row>
    <row r="771" spans="2:17" x14ac:dyDescent="0.25">
      <c r="B771" s="92">
        <v>0</v>
      </c>
      <c r="C771" s="90">
        <v>0</v>
      </c>
      <c r="D771" s="91">
        <v>0</v>
      </c>
      <c r="E771" s="92">
        <v>0</v>
      </c>
      <c r="F771" s="92">
        <v>0</v>
      </c>
      <c r="G771" s="92">
        <v>0</v>
      </c>
      <c r="H771" s="91">
        <v>0</v>
      </c>
      <c r="I771" s="91">
        <v>0</v>
      </c>
      <c r="J771" s="93">
        <v>0</v>
      </c>
      <c r="K771" s="93">
        <v>0</v>
      </c>
      <c r="L771" s="93">
        <v>0</v>
      </c>
      <c r="M771" s="93">
        <v>0</v>
      </c>
      <c r="N771" s="94">
        <v>0</v>
      </c>
      <c r="O771" s="94" t="str">
        <v/>
      </c>
      <c r="P771" s="93">
        <v>0</v>
      </c>
      <c r="Q771" s="92">
        <v>0</v>
      </c>
    </row>
    <row r="772" spans="2:17" x14ac:dyDescent="0.25">
      <c r="B772" s="92">
        <v>0</v>
      </c>
      <c r="C772" s="90">
        <v>0</v>
      </c>
      <c r="D772" s="91">
        <v>0</v>
      </c>
      <c r="E772" s="92">
        <v>0</v>
      </c>
      <c r="F772" s="92">
        <v>0</v>
      </c>
      <c r="G772" s="92">
        <v>0</v>
      </c>
      <c r="H772" s="91">
        <v>0</v>
      </c>
      <c r="I772" s="91">
        <v>0</v>
      </c>
      <c r="J772" s="93">
        <v>0</v>
      </c>
      <c r="K772" s="93">
        <v>0</v>
      </c>
      <c r="L772" s="93">
        <v>0</v>
      </c>
      <c r="M772" s="93">
        <v>0</v>
      </c>
      <c r="N772" s="94">
        <v>0</v>
      </c>
      <c r="O772" s="94" t="str">
        <v/>
      </c>
      <c r="P772" s="93">
        <v>0</v>
      </c>
      <c r="Q772" s="92">
        <v>0</v>
      </c>
    </row>
    <row r="773" spans="2:17" x14ac:dyDescent="0.25">
      <c r="B773" s="92">
        <v>0</v>
      </c>
      <c r="C773" s="90">
        <v>0</v>
      </c>
      <c r="D773" s="91">
        <v>0</v>
      </c>
      <c r="E773" s="92">
        <v>0</v>
      </c>
      <c r="F773" s="92">
        <v>0</v>
      </c>
      <c r="G773" s="92">
        <v>0</v>
      </c>
      <c r="H773" s="91">
        <v>0</v>
      </c>
      <c r="I773" s="91">
        <v>0</v>
      </c>
      <c r="J773" s="93">
        <v>0</v>
      </c>
      <c r="K773" s="93">
        <v>0</v>
      </c>
      <c r="L773" s="93">
        <v>0</v>
      </c>
      <c r="M773" s="93">
        <v>0</v>
      </c>
      <c r="N773" s="94">
        <v>0</v>
      </c>
      <c r="O773" s="94" t="str">
        <v/>
      </c>
      <c r="P773" s="93">
        <v>0</v>
      </c>
      <c r="Q773" s="92">
        <v>0</v>
      </c>
    </row>
    <row r="774" spans="2:17" x14ac:dyDescent="0.25">
      <c r="B774" s="92">
        <v>0</v>
      </c>
      <c r="C774" s="90">
        <v>0</v>
      </c>
      <c r="D774" s="91">
        <v>0</v>
      </c>
      <c r="E774" s="92">
        <v>0</v>
      </c>
      <c r="F774" s="92">
        <v>0</v>
      </c>
      <c r="G774" s="92">
        <v>0</v>
      </c>
      <c r="H774" s="91">
        <v>0</v>
      </c>
      <c r="I774" s="91">
        <v>0</v>
      </c>
      <c r="J774" s="93">
        <v>0</v>
      </c>
      <c r="K774" s="93">
        <v>0</v>
      </c>
      <c r="L774" s="93">
        <v>0</v>
      </c>
      <c r="M774" s="93">
        <v>0</v>
      </c>
      <c r="N774" s="94">
        <v>0</v>
      </c>
      <c r="O774" s="94" t="str">
        <v/>
      </c>
      <c r="P774" s="93">
        <v>0</v>
      </c>
      <c r="Q774" s="92">
        <v>0</v>
      </c>
    </row>
    <row r="775" spans="2:17" x14ac:dyDescent="0.25">
      <c r="B775" s="92">
        <v>0</v>
      </c>
      <c r="C775" s="90">
        <v>0</v>
      </c>
      <c r="D775" s="91">
        <v>0</v>
      </c>
      <c r="E775" s="92">
        <v>0</v>
      </c>
      <c r="F775" s="92">
        <v>0</v>
      </c>
      <c r="G775" s="92">
        <v>0</v>
      </c>
      <c r="H775" s="91">
        <v>0</v>
      </c>
      <c r="I775" s="91">
        <v>0</v>
      </c>
      <c r="J775" s="93">
        <v>0</v>
      </c>
      <c r="K775" s="93">
        <v>0</v>
      </c>
      <c r="L775" s="93">
        <v>0</v>
      </c>
      <c r="M775" s="93">
        <v>0</v>
      </c>
      <c r="N775" s="94">
        <v>0</v>
      </c>
      <c r="O775" s="94" t="str">
        <v/>
      </c>
      <c r="P775" s="93">
        <v>0</v>
      </c>
      <c r="Q775" s="92">
        <v>0</v>
      </c>
    </row>
    <row r="776" spans="2:17" x14ac:dyDescent="0.25">
      <c r="B776" s="92">
        <v>0</v>
      </c>
      <c r="C776" s="90">
        <v>0</v>
      </c>
      <c r="D776" s="91">
        <v>0</v>
      </c>
      <c r="E776" s="92">
        <v>0</v>
      </c>
      <c r="F776" s="92">
        <v>0</v>
      </c>
      <c r="G776" s="92">
        <v>0</v>
      </c>
      <c r="H776" s="91">
        <v>0</v>
      </c>
      <c r="I776" s="91">
        <v>0</v>
      </c>
      <c r="J776" s="93">
        <v>0</v>
      </c>
      <c r="K776" s="93">
        <v>0</v>
      </c>
      <c r="L776" s="93">
        <v>0</v>
      </c>
      <c r="M776" s="93">
        <v>0</v>
      </c>
      <c r="N776" s="94">
        <v>0</v>
      </c>
      <c r="O776" s="94" t="str">
        <v/>
      </c>
      <c r="P776" s="93">
        <v>0</v>
      </c>
      <c r="Q776" s="92">
        <v>0</v>
      </c>
    </row>
    <row r="777" spans="2:17" x14ac:dyDescent="0.25">
      <c r="B777" s="92">
        <v>0</v>
      </c>
      <c r="C777" s="90">
        <v>0</v>
      </c>
      <c r="D777" s="91">
        <v>0</v>
      </c>
      <c r="E777" s="92">
        <v>0</v>
      </c>
      <c r="F777" s="92">
        <v>0</v>
      </c>
      <c r="G777" s="92">
        <v>0</v>
      </c>
      <c r="H777" s="91">
        <v>0</v>
      </c>
      <c r="I777" s="91">
        <v>0</v>
      </c>
      <c r="J777" s="93">
        <v>0</v>
      </c>
      <c r="K777" s="93">
        <v>0</v>
      </c>
      <c r="L777" s="93">
        <v>0</v>
      </c>
      <c r="M777" s="93">
        <v>0</v>
      </c>
      <c r="N777" s="94">
        <v>0</v>
      </c>
      <c r="O777" s="94" t="str">
        <v/>
      </c>
      <c r="P777" s="93">
        <v>0</v>
      </c>
      <c r="Q777" s="92">
        <v>0</v>
      </c>
    </row>
    <row r="778" spans="2:17" x14ac:dyDescent="0.25">
      <c r="B778" s="92">
        <v>0</v>
      </c>
      <c r="C778" s="90">
        <v>0</v>
      </c>
      <c r="D778" s="91">
        <v>0</v>
      </c>
      <c r="E778" s="92">
        <v>0</v>
      </c>
      <c r="F778" s="92">
        <v>0</v>
      </c>
      <c r="G778" s="92">
        <v>0</v>
      </c>
      <c r="H778" s="91">
        <v>0</v>
      </c>
      <c r="I778" s="91">
        <v>0</v>
      </c>
      <c r="J778" s="93">
        <v>0</v>
      </c>
      <c r="K778" s="93">
        <v>0</v>
      </c>
      <c r="L778" s="93">
        <v>0</v>
      </c>
      <c r="M778" s="93">
        <v>0</v>
      </c>
      <c r="N778" s="94">
        <v>0</v>
      </c>
      <c r="O778" s="94" t="str">
        <v/>
      </c>
      <c r="P778" s="93">
        <v>0</v>
      </c>
      <c r="Q778" s="92">
        <v>0</v>
      </c>
    </row>
    <row r="779" spans="2:17" x14ac:dyDescent="0.25">
      <c r="B779" s="92">
        <v>0</v>
      </c>
      <c r="C779" s="90">
        <v>0</v>
      </c>
      <c r="D779" s="91">
        <v>0</v>
      </c>
      <c r="E779" s="92">
        <v>0</v>
      </c>
      <c r="F779" s="92">
        <v>0</v>
      </c>
      <c r="G779" s="92">
        <v>0</v>
      </c>
      <c r="H779" s="91">
        <v>0</v>
      </c>
      <c r="I779" s="91">
        <v>0</v>
      </c>
      <c r="J779" s="93">
        <v>0</v>
      </c>
      <c r="K779" s="93">
        <v>0</v>
      </c>
      <c r="L779" s="93">
        <v>0</v>
      </c>
      <c r="M779" s="93">
        <v>0</v>
      </c>
      <c r="N779" s="94">
        <v>0</v>
      </c>
      <c r="O779" s="94" t="str">
        <v/>
      </c>
      <c r="P779" s="93">
        <v>0</v>
      </c>
      <c r="Q779" s="92">
        <v>0</v>
      </c>
    </row>
    <row r="780" spans="2:17" x14ac:dyDescent="0.25">
      <c r="B780" s="92">
        <v>0</v>
      </c>
      <c r="C780" s="90">
        <v>0</v>
      </c>
      <c r="D780" s="91">
        <v>0</v>
      </c>
      <c r="E780" s="92">
        <v>0</v>
      </c>
      <c r="F780" s="92">
        <v>0</v>
      </c>
      <c r="G780" s="92">
        <v>0</v>
      </c>
      <c r="H780" s="91">
        <v>0</v>
      </c>
      <c r="I780" s="91">
        <v>0</v>
      </c>
      <c r="J780" s="93">
        <v>0</v>
      </c>
      <c r="K780" s="93">
        <v>0</v>
      </c>
      <c r="L780" s="93">
        <v>0</v>
      </c>
      <c r="M780" s="93">
        <v>0</v>
      </c>
      <c r="N780" s="94">
        <v>0</v>
      </c>
      <c r="O780" s="94" t="str">
        <v/>
      </c>
      <c r="P780" s="93">
        <v>0</v>
      </c>
      <c r="Q780" s="92">
        <v>0</v>
      </c>
    </row>
    <row r="781" spans="2:17" x14ac:dyDescent="0.25">
      <c r="B781" s="92">
        <v>0</v>
      </c>
      <c r="C781" s="90">
        <v>0</v>
      </c>
      <c r="D781" s="91">
        <v>0</v>
      </c>
      <c r="E781" s="92">
        <v>0</v>
      </c>
      <c r="F781" s="92">
        <v>0</v>
      </c>
      <c r="G781" s="92">
        <v>0</v>
      </c>
      <c r="H781" s="91">
        <v>0</v>
      </c>
      <c r="I781" s="91">
        <v>0</v>
      </c>
      <c r="J781" s="93">
        <v>0</v>
      </c>
      <c r="K781" s="93">
        <v>0</v>
      </c>
      <c r="L781" s="93">
        <v>0</v>
      </c>
      <c r="M781" s="93">
        <v>0</v>
      </c>
      <c r="N781" s="94">
        <v>0</v>
      </c>
      <c r="O781" s="94" t="str">
        <v/>
      </c>
      <c r="P781" s="93">
        <v>0</v>
      </c>
      <c r="Q781" s="92">
        <v>0</v>
      </c>
    </row>
    <row r="782" spans="2:17" x14ac:dyDescent="0.25">
      <c r="B782" s="92">
        <v>0</v>
      </c>
      <c r="C782" s="90">
        <v>0</v>
      </c>
      <c r="D782" s="91">
        <v>0</v>
      </c>
      <c r="E782" s="92">
        <v>0</v>
      </c>
      <c r="F782" s="92">
        <v>0</v>
      </c>
      <c r="G782" s="92">
        <v>0</v>
      </c>
      <c r="H782" s="91">
        <v>0</v>
      </c>
      <c r="I782" s="91">
        <v>0</v>
      </c>
      <c r="J782" s="93">
        <v>0</v>
      </c>
      <c r="K782" s="93">
        <v>0</v>
      </c>
      <c r="L782" s="93">
        <v>0</v>
      </c>
      <c r="M782" s="93">
        <v>0</v>
      </c>
      <c r="N782" s="94">
        <v>0</v>
      </c>
      <c r="O782" s="94" t="str">
        <v/>
      </c>
      <c r="P782" s="93">
        <v>0</v>
      </c>
      <c r="Q782" s="92">
        <v>0</v>
      </c>
    </row>
    <row r="783" spans="2:17" x14ac:dyDescent="0.25">
      <c r="B783" s="92">
        <v>0</v>
      </c>
      <c r="C783" s="90">
        <v>0</v>
      </c>
      <c r="D783" s="91">
        <v>0</v>
      </c>
      <c r="E783" s="92">
        <v>0</v>
      </c>
      <c r="F783" s="92">
        <v>0</v>
      </c>
      <c r="G783" s="92">
        <v>0</v>
      </c>
      <c r="H783" s="91">
        <v>0</v>
      </c>
      <c r="I783" s="91">
        <v>0</v>
      </c>
      <c r="J783" s="93">
        <v>0</v>
      </c>
      <c r="K783" s="93">
        <v>0</v>
      </c>
      <c r="L783" s="93">
        <v>0</v>
      </c>
      <c r="M783" s="93">
        <v>0</v>
      </c>
      <c r="N783" s="94">
        <v>0</v>
      </c>
      <c r="O783" s="94" t="str">
        <v/>
      </c>
      <c r="P783" s="93">
        <v>0</v>
      </c>
      <c r="Q783" s="92">
        <v>0</v>
      </c>
    </row>
    <row r="784" spans="2:17" x14ac:dyDescent="0.25">
      <c r="B784" s="92">
        <v>0</v>
      </c>
      <c r="C784" s="90">
        <v>0</v>
      </c>
      <c r="D784" s="91">
        <v>0</v>
      </c>
      <c r="E784" s="92">
        <v>0</v>
      </c>
      <c r="F784" s="92">
        <v>0</v>
      </c>
      <c r="G784" s="92">
        <v>0</v>
      </c>
      <c r="H784" s="91">
        <v>0</v>
      </c>
      <c r="I784" s="91">
        <v>0</v>
      </c>
      <c r="J784" s="93">
        <v>0</v>
      </c>
      <c r="K784" s="93">
        <v>0</v>
      </c>
      <c r="L784" s="93">
        <v>0</v>
      </c>
      <c r="M784" s="93">
        <v>0</v>
      </c>
      <c r="N784" s="94">
        <v>0</v>
      </c>
      <c r="O784" s="94" t="str">
        <v/>
      </c>
      <c r="P784" s="93">
        <v>0</v>
      </c>
      <c r="Q784" s="92">
        <v>0</v>
      </c>
    </row>
    <row r="785" spans="2:17" x14ac:dyDescent="0.25">
      <c r="B785" s="92">
        <v>0</v>
      </c>
      <c r="C785" s="90">
        <v>0</v>
      </c>
      <c r="D785" s="91">
        <v>0</v>
      </c>
      <c r="E785" s="92">
        <v>0</v>
      </c>
      <c r="F785" s="92">
        <v>0</v>
      </c>
      <c r="G785" s="92">
        <v>0</v>
      </c>
      <c r="H785" s="91">
        <v>0</v>
      </c>
      <c r="I785" s="91">
        <v>0</v>
      </c>
      <c r="J785" s="93">
        <v>0</v>
      </c>
      <c r="K785" s="93">
        <v>0</v>
      </c>
      <c r="L785" s="93">
        <v>0</v>
      </c>
      <c r="M785" s="93">
        <v>0</v>
      </c>
      <c r="N785" s="94">
        <v>0</v>
      </c>
      <c r="O785" s="94" t="str">
        <v/>
      </c>
      <c r="P785" s="93">
        <v>0</v>
      </c>
      <c r="Q785" s="92">
        <v>0</v>
      </c>
    </row>
    <row r="786" spans="2:17" x14ac:dyDescent="0.25">
      <c r="B786" s="92">
        <v>0</v>
      </c>
      <c r="C786" s="90">
        <v>0</v>
      </c>
      <c r="D786" s="91">
        <v>0</v>
      </c>
      <c r="E786" s="92">
        <v>0</v>
      </c>
      <c r="F786" s="92">
        <v>0</v>
      </c>
      <c r="G786" s="92">
        <v>0</v>
      </c>
      <c r="H786" s="91">
        <v>0</v>
      </c>
      <c r="I786" s="91">
        <v>0</v>
      </c>
      <c r="J786" s="93">
        <v>0</v>
      </c>
      <c r="K786" s="93">
        <v>0</v>
      </c>
      <c r="L786" s="93">
        <v>0</v>
      </c>
      <c r="M786" s="93">
        <v>0</v>
      </c>
      <c r="N786" s="94">
        <v>0</v>
      </c>
      <c r="O786" s="94" t="str">
        <v/>
      </c>
      <c r="P786" s="93">
        <v>0</v>
      </c>
      <c r="Q786" s="92">
        <v>0</v>
      </c>
    </row>
    <row r="787" spans="2:17" x14ac:dyDescent="0.25">
      <c r="B787" s="92">
        <v>0</v>
      </c>
      <c r="C787" s="90">
        <v>0</v>
      </c>
      <c r="D787" s="91">
        <v>0</v>
      </c>
      <c r="E787" s="92">
        <v>0</v>
      </c>
      <c r="F787" s="92">
        <v>0</v>
      </c>
      <c r="G787" s="92">
        <v>0</v>
      </c>
      <c r="H787" s="91">
        <v>0</v>
      </c>
      <c r="I787" s="91">
        <v>0</v>
      </c>
      <c r="J787" s="93">
        <v>0</v>
      </c>
      <c r="K787" s="93">
        <v>0</v>
      </c>
      <c r="L787" s="93">
        <v>0</v>
      </c>
      <c r="M787" s="93">
        <v>0</v>
      </c>
      <c r="N787" s="94">
        <v>0</v>
      </c>
      <c r="O787" s="94" t="str">
        <v/>
      </c>
      <c r="P787" s="93">
        <v>0</v>
      </c>
      <c r="Q787" s="92">
        <v>0</v>
      </c>
    </row>
    <row r="788" spans="2:17" x14ac:dyDescent="0.25">
      <c r="B788" s="92">
        <v>0</v>
      </c>
      <c r="C788" s="90">
        <v>0</v>
      </c>
      <c r="D788" s="91">
        <v>0</v>
      </c>
      <c r="E788" s="92">
        <v>0</v>
      </c>
      <c r="F788" s="92">
        <v>0</v>
      </c>
      <c r="G788" s="92">
        <v>0</v>
      </c>
      <c r="H788" s="91">
        <v>0</v>
      </c>
      <c r="I788" s="91">
        <v>0</v>
      </c>
      <c r="J788" s="93">
        <v>0</v>
      </c>
      <c r="K788" s="93">
        <v>0</v>
      </c>
      <c r="L788" s="93">
        <v>0</v>
      </c>
      <c r="M788" s="93">
        <v>0</v>
      </c>
      <c r="N788" s="94">
        <v>0</v>
      </c>
      <c r="O788" s="94" t="str">
        <v/>
      </c>
      <c r="P788" s="93">
        <v>0</v>
      </c>
      <c r="Q788" s="92">
        <v>0</v>
      </c>
    </row>
    <row r="789" spans="2:17" x14ac:dyDescent="0.25">
      <c r="B789" s="92">
        <v>0</v>
      </c>
      <c r="C789" s="90">
        <v>0</v>
      </c>
      <c r="D789" s="91">
        <v>0</v>
      </c>
      <c r="E789" s="92">
        <v>0</v>
      </c>
      <c r="F789" s="92">
        <v>0</v>
      </c>
      <c r="G789" s="92">
        <v>0</v>
      </c>
      <c r="H789" s="91">
        <v>0</v>
      </c>
      <c r="I789" s="91">
        <v>0</v>
      </c>
      <c r="J789" s="93">
        <v>0</v>
      </c>
      <c r="K789" s="93">
        <v>0</v>
      </c>
      <c r="L789" s="93">
        <v>0</v>
      </c>
      <c r="M789" s="93">
        <v>0</v>
      </c>
      <c r="N789" s="94">
        <v>0</v>
      </c>
      <c r="O789" s="94" t="str">
        <v/>
      </c>
      <c r="P789" s="93">
        <v>0</v>
      </c>
      <c r="Q789" s="92">
        <v>0</v>
      </c>
    </row>
    <row r="790" spans="2:17" x14ac:dyDescent="0.25">
      <c r="B790" s="92">
        <v>0</v>
      </c>
      <c r="C790" s="90">
        <v>0</v>
      </c>
      <c r="D790" s="91">
        <v>0</v>
      </c>
      <c r="E790" s="92">
        <v>0</v>
      </c>
      <c r="F790" s="92">
        <v>0</v>
      </c>
      <c r="G790" s="92">
        <v>0</v>
      </c>
      <c r="H790" s="91">
        <v>0</v>
      </c>
      <c r="I790" s="91">
        <v>0</v>
      </c>
      <c r="J790" s="93">
        <v>0</v>
      </c>
      <c r="K790" s="93">
        <v>0</v>
      </c>
      <c r="L790" s="93">
        <v>0</v>
      </c>
      <c r="M790" s="93">
        <v>0</v>
      </c>
      <c r="N790" s="94">
        <v>0</v>
      </c>
      <c r="O790" s="94" t="str">
        <v/>
      </c>
      <c r="P790" s="93">
        <v>0</v>
      </c>
      <c r="Q790" s="92">
        <v>0</v>
      </c>
    </row>
    <row r="791" spans="2:17" x14ac:dyDescent="0.25">
      <c r="B791" s="92">
        <v>0</v>
      </c>
      <c r="C791" s="90">
        <v>0</v>
      </c>
      <c r="D791" s="91">
        <v>0</v>
      </c>
      <c r="E791" s="92">
        <v>0</v>
      </c>
      <c r="F791" s="92">
        <v>0</v>
      </c>
      <c r="G791" s="92">
        <v>0</v>
      </c>
      <c r="H791" s="91">
        <v>0</v>
      </c>
      <c r="I791" s="91">
        <v>0</v>
      </c>
      <c r="J791" s="93">
        <v>0</v>
      </c>
      <c r="K791" s="93">
        <v>0</v>
      </c>
      <c r="L791" s="93">
        <v>0</v>
      </c>
      <c r="M791" s="93">
        <v>0</v>
      </c>
      <c r="N791" s="94">
        <v>0</v>
      </c>
      <c r="O791" s="94" t="str">
        <v/>
      </c>
      <c r="P791" s="93">
        <v>0</v>
      </c>
      <c r="Q791" s="92">
        <v>0</v>
      </c>
    </row>
    <row r="792" spans="2:17" x14ac:dyDescent="0.25">
      <c r="B792" s="92">
        <v>0</v>
      </c>
      <c r="C792" s="90">
        <v>0</v>
      </c>
      <c r="D792" s="91">
        <v>0</v>
      </c>
      <c r="E792" s="92">
        <v>0</v>
      </c>
      <c r="F792" s="92">
        <v>0</v>
      </c>
      <c r="G792" s="92">
        <v>0</v>
      </c>
      <c r="H792" s="91">
        <v>0</v>
      </c>
      <c r="I792" s="91">
        <v>0</v>
      </c>
      <c r="J792" s="93">
        <v>0</v>
      </c>
      <c r="K792" s="93">
        <v>0</v>
      </c>
      <c r="L792" s="93">
        <v>0</v>
      </c>
      <c r="M792" s="93">
        <v>0</v>
      </c>
      <c r="N792" s="94">
        <v>0</v>
      </c>
      <c r="O792" s="94" t="str">
        <v/>
      </c>
      <c r="P792" s="93">
        <v>0</v>
      </c>
      <c r="Q792" s="92">
        <v>0</v>
      </c>
    </row>
    <row r="793" spans="2:17" x14ac:dyDescent="0.25">
      <c r="B793" s="92">
        <v>0</v>
      </c>
      <c r="C793" s="90">
        <v>0</v>
      </c>
      <c r="D793" s="91">
        <v>0</v>
      </c>
      <c r="E793" s="92">
        <v>0</v>
      </c>
      <c r="F793" s="92">
        <v>0</v>
      </c>
      <c r="G793" s="92">
        <v>0</v>
      </c>
      <c r="H793" s="91">
        <v>0</v>
      </c>
      <c r="I793" s="91">
        <v>0</v>
      </c>
      <c r="J793" s="93">
        <v>0</v>
      </c>
      <c r="K793" s="93">
        <v>0</v>
      </c>
      <c r="L793" s="93">
        <v>0</v>
      </c>
      <c r="M793" s="93">
        <v>0</v>
      </c>
      <c r="N793" s="94">
        <v>0</v>
      </c>
      <c r="O793" s="94" t="str">
        <v/>
      </c>
      <c r="P793" s="93">
        <v>0</v>
      </c>
      <c r="Q793" s="92">
        <v>0</v>
      </c>
    </row>
    <row r="794" spans="2:17" x14ac:dyDescent="0.25">
      <c r="B794" s="92">
        <v>0</v>
      </c>
      <c r="C794" s="90">
        <v>0</v>
      </c>
      <c r="D794" s="91">
        <v>0</v>
      </c>
      <c r="E794" s="92">
        <v>0</v>
      </c>
      <c r="F794" s="92">
        <v>0</v>
      </c>
      <c r="G794" s="92">
        <v>0</v>
      </c>
      <c r="H794" s="91">
        <v>0</v>
      </c>
      <c r="I794" s="91">
        <v>0</v>
      </c>
      <c r="J794" s="93">
        <v>0</v>
      </c>
      <c r="K794" s="93">
        <v>0</v>
      </c>
      <c r="L794" s="93">
        <v>0</v>
      </c>
      <c r="M794" s="93">
        <v>0</v>
      </c>
      <c r="N794" s="94">
        <v>0</v>
      </c>
      <c r="O794" s="94" t="str">
        <v/>
      </c>
      <c r="P794" s="93">
        <v>0</v>
      </c>
      <c r="Q794" s="92">
        <v>0</v>
      </c>
    </row>
    <row r="795" spans="2:17" x14ac:dyDescent="0.25">
      <c r="B795" s="92">
        <v>0</v>
      </c>
      <c r="C795" s="90">
        <v>0</v>
      </c>
      <c r="D795" s="91">
        <v>0</v>
      </c>
      <c r="E795" s="92">
        <v>0</v>
      </c>
      <c r="F795" s="92">
        <v>0</v>
      </c>
      <c r="G795" s="92">
        <v>0</v>
      </c>
      <c r="H795" s="91">
        <v>0</v>
      </c>
      <c r="I795" s="91">
        <v>0</v>
      </c>
      <c r="J795" s="93">
        <v>0</v>
      </c>
      <c r="K795" s="93">
        <v>0</v>
      </c>
      <c r="L795" s="93">
        <v>0</v>
      </c>
      <c r="M795" s="93">
        <v>0</v>
      </c>
      <c r="N795" s="94">
        <v>0</v>
      </c>
      <c r="O795" s="94" t="str">
        <v/>
      </c>
      <c r="P795" s="93">
        <v>0</v>
      </c>
      <c r="Q795" s="92">
        <v>0</v>
      </c>
    </row>
    <row r="796" spans="2:17" x14ac:dyDescent="0.25">
      <c r="B796" s="92">
        <v>0</v>
      </c>
      <c r="C796" s="90">
        <v>0</v>
      </c>
      <c r="D796" s="91">
        <v>0</v>
      </c>
      <c r="E796" s="92">
        <v>0</v>
      </c>
      <c r="F796" s="92">
        <v>0</v>
      </c>
      <c r="G796" s="92">
        <v>0</v>
      </c>
      <c r="H796" s="91">
        <v>0</v>
      </c>
      <c r="I796" s="91">
        <v>0</v>
      </c>
      <c r="J796" s="93">
        <v>0</v>
      </c>
      <c r="K796" s="93">
        <v>0</v>
      </c>
      <c r="L796" s="93">
        <v>0</v>
      </c>
      <c r="M796" s="93">
        <v>0</v>
      </c>
      <c r="N796" s="94">
        <v>0</v>
      </c>
      <c r="O796" s="94" t="str">
        <v/>
      </c>
      <c r="P796" s="93">
        <v>0</v>
      </c>
      <c r="Q796" s="92">
        <v>0</v>
      </c>
    </row>
    <row r="797" spans="2:17" x14ac:dyDescent="0.25">
      <c r="B797" s="92">
        <v>0</v>
      </c>
      <c r="C797" s="90">
        <v>0</v>
      </c>
      <c r="D797" s="91">
        <v>0</v>
      </c>
      <c r="E797" s="92">
        <v>0</v>
      </c>
      <c r="F797" s="92">
        <v>0</v>
      </c>
      <c r="G797" s="92">
        <v>0</v>
      </c>
      <c r="H797" s="91">
        <v>0</v>
      </c>
      <c r="I797" s="91">
        <v>0</v>
      </c>
      <c r="J797" s="93">
        <v>0</v>
      </c>
      <c r="K797" s="93">
        <v>0</v>
      </c>
      <c r="L797" s="93">
        <v>0</v>
      </c>
      <c r="M797" s="93">
        <v>0</v>
      </c>
      <c r="N797" s="94">
        <v>0</v>
      </c>
      <c r="O797" s="94" t="str">
        <v/>
      </c>
      <c r="P797" s="93">
        <v>0</v>
      </c>
      <c r="Q797" s="92">
        <v>0</v>
      </c>
    </row>
    <row r="798" spans="2:17" x14ac:dyDescent="0.25">
      <c r="B798" s="92">
        <v>0</v>
      </c>
      <c r="C798" s="90">
        <v>0</v>
      </c>
      <c r="D798" s="91">
        <v>0</v>
      </c>
      <c r="E798" s="92">
        <v>0</v>
      </c>
      <c r="F798" s="92">
        <v>0</v>
      </c>
      <c r="G798" s="92">
        <v>0</v>
      </c>
      <c r="H798" s="91">
        <v>0</v>
      </c>
      <c r="I798" s="91">
        <v>0</v>
      </c>
      <c r="J798" s="93">
        <v>0</v>
      </c>
      <c r="K798" s="93">
        <v>0</v>
      </c>
      <c r="L798" s="93">
        <v>0</v>
      </c>
      <c r="M798" s="93">
        <v>0</v>
      </c>
      <c r="N798" s="94">
        <v>0</v>
      </c>
      <c r="O798" s="94" t="str">
        <v/>
      </c>
      <c r="P798" s="93">
        <v>0</v>
      </c>
      <c r="Q798" s="92">
        <v>0</v>
      </c>
    </row>
    <row r="799" spans="2:17" x14ac:dyDescent="0.25">
      <c r="B799" s="92">
        <v>0</v>
      </c>
      <c r="C799" s="90">
        <v>0</v>
      </c>
      <c r="D799" s="91">
        <v>0</v>
      </c>
      <c r="E799" s="92">
        <v>0</v>
      </c>
      <c r="F799" s="92">
        <v>0</v>
      </c>
      <c r="G799" s="92">
        <v>0</v>
      </c>
      <c r="H799" s="91">
        <v>0</v>
      </c>
      <c r="I799" s="91">
        <v>0</v>
      </c>
      <c r="J799" s="93">
        <v>0</v>
      </c>
      <c r="K799" s="93">
        <v>0</v>
      </c>
      <c r="L799" s="93">
        <v>0</v>
      </c>
      <c r="M799" s="93">
        <v>0</v>
      </c>
      <c r="N799" s="94">
        <v>0</v>
      </c>
      <c r="O799" s="94" t="str">
        <v/>
      </c>
      <c r="P799" s="93">
        <v>0</v>
      </c>
      <c r="Q799" s="92">
        <v>0</v>
      </c>
    </row>
    <row r="800" spans="2:17" x14ac:dyDescent="0.25">
      <c r="B800" s="92">
        <v>0</v>
      </c>
      <c r="C800" s="90">
        <v>0</v>
      </c>
      <c r="D800" s="91">
        <v>0</v>
      </c>
      <c r="E800" s="92">
        <v>0</v>
      </c>
      <c r="F800" s="92">
        <v>0</v>
      </c>
      <c r="G800" s="92">
        <v>0</v>
      </c>
      <c r="H800" s="91">
        <v>0</v>
      </c>
      <c r="I800" s="91">
        <v>0</v>
      </c>
      <c r="J800" s="93">
        <v>0</v>
      </c>
      <c r="K800" s="93">
        <v>0</v>
      </c>
      <c r="L800" s="93">
        <v>0</v>
      </c>
      <c r="M800" s="93">
        <v>0</v>
      </c>
      <c r="N800" s="94">
        <v>0</v>
      </c>
      <c r="O800" s="94" t="str">
        <v/>
      </c>
      <c r="P800" s="93">
        <v>0</v>
      </c>
      <c r="Q800" s="92">
        <v>0</v>
      </c>
    </row>
    <row r="801" spans="2:17" x14ac:dyDescent="0.25">
      <c r="B801" s="92">
        <v>0</v>
      </c>
      <c r="C801" s="90">
        <v>0</v>
      </c>
      <c r="D801" s="91">
        <v>0</v>
      </c>
      <c r="E801" s="92">
        <v>0</v>
      </c>
      <c r="F801" s="92">
        <v>0</v>
      </c>
      <c r="G801" s="92">
        <v>0</v>
      </c>
      <c r="H801" s="91">
        <v>0</v>
      </c>
      <c r="I801" s="91">
        <v>0</v>
      </c>
      <c r="J801" s="93">
        <v>0</v>
      </c>
      <c r="K801" s="93">
        <v>0</v>
      </c>
      <c r="L801" s="93">
        <v>0</v>
      </c>
      <c r="M801" s="93">
        <v>0</v>
      </c>
      <c r="N801" s="94">
        <v>0</v>
      </c>
      <c r="O801" s="94" t="str">
        <v/>
      </c>
      <c r="P801" s="93">
        <v>0</v>
      </c>
      <c r="Q801" s="92">
        <v>0</v>
      </c>
    </row>
    <row r="802" spans="2:17" x14ac:dyDescent="0.25">
      <c r="B802" s="92">
        <v>0</v>
      </c>
      <c r="C802" s="90">
        <v>0</v>
      </c>
      <c r="D802" s="91">
        <v>0</v>
      </c>
      <c r="E802" s="92">
        <v>0</v>
      </c>
      <c r="F802" s="92">
        <v>0</v>
      </c>
      <c r="G802" s="92">
        <v>0</v>
      </c>
      <c r="H802" s="91">
        <v>0</v>
      </c>
      <c r="I802" s="91">
        <v>0</v>
      </c>
      <c r="J802" s="93">
        <v>0</v>
      </c>
      <c r="K802" s="93">
        <v>0</v>
      </c>
      <c r="L802" s="93">
        <v>0</v>
      </c>
      <c r="M802" s="93">
        <v>0</v>
      </c>
      <c r="N802" s="94">
        <v>0</v>
      </c>
      <c r="O802" s="94" t="str">
        <v/>
      </c>
      <c r="P802" s="93">
        <v>0</v>
      </c>
      <c r="Q802" s="92">
        <v>0</v>
      </c>
    </row>
    <row r="803" spans="2:17" x14ac:dyDescent="0.25">
      <c r="B803" s="92">
        <v>0</v>
      </c>
      <c r="C803" s="90">
        <v>0</v>
      </c>
      <c r="D803" s="91">
        <v>0</v>
      </c>
      <c r="E803" s="92">
        <v>0</v>
      </c>
      <c r="F803" s="92">
        <v>0</v>
      </c>
      <c r="G803" s="92">
        <v>0</v>
      </c>
      <c r="H803" s="91">
        <v>0</v>
      </c>
      <c r="I803" s="91">
        <v>0</v>
      </c>
      <c r="J803" s="93">
        <v>0</v>
      </c>
      <c r="K803" s="93">
        <v>0</v>
      </c>
      <c r="L803" s="93">
        <v>0</v>
      </c>
      <c r="M803" s="93">
        <v>0</v>
      </c>
      <c r="N803" s="94">
        <v>0</v>
      </c>
      <c r="O803" s="94" t="str">
        <v/>
      </c>
      <c r="P803" s="93">
        <v>0</v>
      </c>
      <c r="Q803" s="92">
        <v>0</v>
      </c>
    </row>
    <row r="804" spans="2:17" x14ac:dyDescent="0.25">
      <c r="B804" s="92">
        <v>0</v>
      </c>
      <c r="C804" s="90">
        <v>0</v>
      </c>
      <c r="D804" s="91">
        <v>0</v>
      </c>
      <c r="E804" s="92">
        <v>0</v>
      </c>
      <c r="F804" s="92">
        <v>0</v>
      </c>
      <c r="G804" s="92">
        <v>0</v>
      </c>
      <c r="H804" s="91">
        <v>0</v>
      </c>
      <c r="I804" s="91">
        <v>0</v>
      </c>
      <c r="J804" s="93">
        <v>0</v>
      </c>
      <c r="K804" s="93">
        <v>0</v>
      </c>
      <c r="L804" s="93">
        <v>0</v>
      </c>
      <c r="M804" s="93">
        <v>0</v>
      </c>
      <c r="N804" s="94">
        <v>0</v>
      </c>
      <c r="O804" s="94" t="str">
        <v/>
      </c>
      <c r="P804" s="93">
        <v>0</v>
      </c>
      <c r="Q804" s="92">
        <v>0</v>
      </c>
    </row>
    <row r="805" spans="2:17" x14ac:dyDescent="0.25">
      <c r="B805" s="92">
        <v>0</v>
      </c>
      <c r="C805" s="90">
        <v>0</v>
      </c>
      <c r="D805" s="91">
        <v>0</v>
      </c>
      <c r="E805" s="92">
        <v>0</v>
      </c>
      <c r="F805" s="92">
        <v>0</v>
      </c>
      <c r="G805" s="92">
        <v>0</v>
      </c>
      <c r="H805" s="91">
        <v>0</v>
      </c>
      <c r="I805" s="91">
        <v>0</v>
      </c>
      <c r="J805" s="93">
        <v>0</v>
      </c>
      <c r="K805" s="93">
        <v>0</v>
      </c>
      <c r="L805" s="93">
        <v>0</v>
      </c>
      <c r="M805" s="93">
        <v>0</v>
      </c>
      <c r="N805" s="94">
        <v>0</v>
      </c>
      <c r="O805" s="94" t="str">
        <v/>
      </c>
      <c r="P805" s="93">
        <v>0</v>
      </c>
      <c r="Q805" s="92">
        <v>0</v>
      </c>
    </row>
    <row r="806" spans="2:17" x14ac:dyDescent="0.25">
      <c r="B806" s="92">
        <v>0</v>
      </c>
      <c r="C806" s="90">
        <v>0</v>
      </c>
      <c r="D806" s="91">
        <v>0</v>
      </c>
      <c r="E806" s="92">
        <v>0</v>
      </c>
      <c r="F806" s="92">
        <v>0</v>
      </c>
      <c r="G806" s="92">
        <v>0</v>
      </c>
      <c r="H806" s="91">
        <v>0</v>
      </c>
      <c r="I806" s="91">
        <v>0</v>
      </c>
      <c r="J806" s="93">
        <v>0</v>
      </c>
      <c r="K806" s="93">
        <v>0</v>
      </c>
      <c r="L806" s="93">
        <v>0</v>
      </c>
      <c r="M806" s="93">
        <v>0</v>
      </c>
      <c r="N806" s="94">
        <v>0</v>
      </c>
      <c r="O806" s="94" t="str">
        <v/>
      </c>
      <c r="P806" s="93">
        <v>0</v>
      </c>
      <c r="Q806" s="92">
        <v>0</v>
      </c>
    </row>
    <row r="807" spans="2:17" x14ac:dyDescent="0.25">
      <c r="B807" s="92">
        <v>0</v>
      </c>
      <c r="C807" s="90">
        <v>0</v>
      </c>
      <c r="D807" s="91">
        <v>0</v>
      </c>
      <c r="E807" s="92">
        <v>0</v>
      </c>
      <c r="F807" s="92">
        <v>0</v>
      </c>
      <c r="G807" s="92">
        <v>0</v>
      </c>
      <c r="H807" s="91">
        <v>0</v>
      </c>
      <c r="I807" s="91">
        <v>0</v>
      </c>
      <c r="J807" s="93">
        <v>0</v>
      </c>
      <c r="K807" s="93">
        <v>0</v>
      </c>
      <c r="L807" s="93">
        <v>0</v>
      </c>
      <c r="M807" s="93">
        <v>0</v>
      </c>
      <c r="N807" s="94">
        <v>0</v>
      </c>
      <c r="O807" s="94" t="str">
        <v/>
      </c>
      <c r="P807" s="93">
        <v>0</v>
      </c>
      <c r="Q807" s="92">
        <v>0</v>
      </c>
    </row>
    <row r="808" spans="2:17" x14ac:dyDescent="0.25">
      <c r="B808" s="92">
        <v>0</v>
      </c>
      <c r="C808" s="90">
        <v>0</v>
      </c>
      <c r="D808" s="91">
        <v>0</v>
      </c>
      <c r="E808" s="92">
        <v>0</v>
      </c>
      <c r="F808" s="92">
        <v>0</v>
      </c>
      <c r="G808" s="92">
        <v>0</v>
      </c>
      <c r="H808" s="91">
        <v>0</v>
      </c>
      <c r="I808" s="91">
        <v>0</v>
      </c>
      <c r="J808" s="93">
        <v>0</v>
      </c>
      <c r="K808" s="93">
        <v>0</v>
      </c>
      <c r="L808" s="93">
        <v>0</v>
      </c>
      <c r="M808" s="93">
        <v>0</v>
      </c>
      <c r="N808" s="94">
        <v>0</v>
      </c>
      <c r="O808" s="94" t="str">
        <v/>
      </c>
      <c r="P808" s="93">
        <v>0</v>
      </c>
      <c r="Q808" s="92">
        <v>0</v>
      </c>
    </row>
    <row r="809" spans="2:17" x14ac:dyDescent="0.25">
      <c r="B809" s="92">
        <v>0</v>
      </c>
      <c r="C809" s="90">
        <v>0</v>
      </c>
      <c r="D809" s="91">
        <v>0</v>
      </c>
      <c r="E809" s="92">
        <v>0</v>
      </c>
      <c r="F809" s="92">
        <v>0</v>
      </c>
      <c r="G809" s="92">
        <v>0</v>
      </c>
      <c r="H809" s="91">
        <v>0</v>
      </c>
      <c r="I809" s="91">
        <v>0</v>
      </c>
      <c r="J809" s="93">
        <v>0</v>
      </c>
      <c r="K809" s="93">
        <v>0</v>
      </c>
      <c r="L809" s="93">
        <v>0</v>
      </c>
      <c r="M809" s="93">
        <v>0</v>
      </c>
      <c r="N809" s="94">
        <v>0</v>
      </c>
      <c r="O809" s="94" t="str">
        <v/>
      </c>
      <c r="P809" s="93">
        <v>0</v>
      </c>
      <c r="Q809" s="92">
        <v>0</v>
      </c>
    </row>
    <row r="810" spans="2:17" x14ac:dyDescent="0.25">
      <c r="B810" s="92">
        <v>0</v>
      </c>
      <c r="C810" s="90">
        <v>0</v>
      </c>
      <c r="D810" s="91">
        <v>0</v>
      </c>
      <c r="E810" s="92">
        <v>0</v>
      </c>
      <c r="F810" s="92">
        <v>0</v>
      </c>
      <c r="G810" s="92">
        <v>0</v>
      </c>
      <c r="H810" s="91">
        <v>0</v>
      </c>
      <c r="I810" s="91">
        <v>0</v>
      </c>
      <c r="J810" s="93">
        <v>0</v>
      </c>
      <c r="K810" s="93">
        <v>0</v>
      </c>
      <c r="L810" s="93">
        <v>0</v>
      </c>
      <c r="M810" s="93">
        <v>0</v>
      </c>
      <c r="N810" s="94">
        <v>0</v>
      </c>
      <c r="O810" s="94" t="str">
        <v/>
      </c>
      <c r="P810" s="93">
        <v>0</v>
      </c>
      <c r="Q810" s="92">
        <v>0</v>
      </c>
    </row>
    <row r="811" spans="2:17" x14ac:dyDescent="0.25">
      <c r="B811" s="92">
        <v>0</v>
      </c>
      <c r="C811" s="90">
        <v>0</v>
      </c>
      <c r="D811" s="91">
        <v>0</v>
      </c>
      <c r="E811" s="92">
        <v>0</v>
      </c>
      <c r="F811" s="92">
        <v>0</v>
      </c>
      <c r="G811" s="92">
        <v>0</v>
      </c>
      <c r="H811" s="91">
        <v>0</v>
      </c>
      <c r="I811" s="91">
        <v>0</v>
      </c>
      <c r="J811" s="93">
        <v>0</v>
      </c>
      <c r="K811" s="93">
        <v>0</v>
      </c>
      <c r="L811" s="93">
        <v>0</v>
      </c>
      <c r="M811" s="93">
        <v>0</v>
      </c>
      <c r="N811" s="94">
        <v>0</v>
      </c>
      <c r="O811" s="94" t="str">
        <v/>
      </c>
      <c r="P811" s="93">
        <v>0</v>
      </c>
      <c r="Q811" s="92">
        <v>0</v>
      </c>
    </row>
    <row r="812" spans="2:17" x14ac:dyDescent="0.25">
      <c r="B812" s="92">
        <v>0</v>
      </c>
      <c r="C812" s="90">
        <v>0</v>
      </c>
      <c r="D812" s="91">
        <v>0</v>
      </c>
      <c r="E812" s="92">
        <v>0</v>
      </c>
      <c r="F812" s="92">
        <v>0</v>
      </c>
      <c r="G812" s="92">
        <v>0</v>
      </c>
      <c r="H812" s="91">
        <v>0</v>
      </c>
      <c r="I812" s="91">
        <v>0</v>
      </c>
      <c r="J812" s="93">
        <v>0</v>
      </c>
      <c r="K812" s="93">
        <v>0</v>
      </c>
      <c r="L812" s="93">
        <v>0</v>
      </c>
      <c r="M812" s="93">
        <v>0</v>
      </c>
      <c r="N812" s="94">
        <v>0</v>
      </c>
      <c r="O812" s="94" t="str">
        <v/>
      </c>
      <c r="P812" s="93">
        <v>0</v>
      </c>
      <c r="Q812" s="92">
        <v>0</v>
      </c>
    </row>
    <row r="813" spans="2:17" x14ac:dyDescent="0.25">
      <c r="B813" s="92">
        <v>0</v>
      </c>
      <c r="C813" s="90">
        <v>0</v>
      </c>
      <c r="D813" s="91">
        <v>0</v>
      </c>
      <c r="E813" s="92">
        <v>0</v>
      </c>
      <c r="F813" s="92">
        <v>0</v>
      </c>
      <c r="G813" s="92">
        <v>0</v>
      </c>
      <c r="H813" s="91">
        <v>0</v>
      </c>
      <c r="I813" s="91">
        <v>0</v>
      </c>
      <c r="J813" s="93">
        <v>0</v>
      </c>
      <c r="K813" s="93">
        <v>0</v>
      </c>
      <c r="L813" s="93">
        <v>0</v>
      </c>
      <c r="M813" s="93">
        <v>0</v>
      </c>
      <c r="N813" s="94">
        <v>0</v>
      </c>
      <c r="O813" s="94" t="str">
        <v/>
      </c>
      <c r="P813" s="93">
        <v>0</v>
      </c>
      <c r="Q813" s="92">
        <v>0</v>
      </c>
    </row>
    <row r="814" spans="2:17" x14ac:dyDescent="0.25">
      <c r="B814" s="92">
        <v>0</v>
      </c>
      <c r="C814" s="90">
        <v>0</v>
      </c>
      <c r="D814" s="91">
        <v>0</v>
      </c>
      <c r="E814" s="92">
        <v>0</v>
      </c>
      <c r="F814" s="92">
        <v>0</v>
      </c>
      <c r="G814" s="92">
        <v>0</v>
      </c>
      <c r="H814" s="91">
        <v>0</v>
      </c>
      <c r="I814" s="91">
        <v>0</v>
      </c>
      <c r="J814" s="93">
        <v>0</v>
      </c>
      <c r="K814" s="93">
        <v>0</v>
      </c>
      <c r="L814" s="93">
        <v>0</v>
      </c>
      <c r="M814" s="93">
        <v>0</v>
      </c>
      <c r="N814" s="94">
        <v>0</v>
      </c>
      <c r="O814" s="94" t="str">
        <v/>
      </c>
      <c r="P814" s="93">
        <v>0</v>
      </c>
      <c r="Q814" s="92">
        <v>0</v>
      </c>
    </row>
    <row r="815" spans="2:17" x14ac:dyDescent="0.25">
      <c r="B815" s="92">
        <v>0</v>
      </c>
      <c r="C815" s="90">
        <v>0</v>
      </c>
      <c r="D815" s="91">
        <v>0</v>
      </c>
      <c r="E815" s="92">
        <v>0</v>
      </c>
      <c r="F815" s="92">
        <v>0</v>
      </c>
      <c r="G815" s="92">
        <v>0</v>
      </c>
      <c r="H815" s="91">
        <v>0</v>
      </c>
      <c r="I815" s="91">
        <v>0</v>
      </c>
      <c r="J815" s="93">
        <v>0</v>
      </c>
      <c r="K815" s="93">
        <v>0</v>
      </c>
      <c r="L815" s="93">
        <v>0</v>
      </c>
      <c r="M815" s="93">
        <v>0</v>
      </c>
      <c r="N815" s="94">
        <v>0</v>
      </c>
      <c r="O815" s="94" t="str">
        <v/>
      </c>
      <c r="P815" s="93">
        <v>0</v>
      </c>
      <c r="Q815" s="92">
        <v>0</v>
      </c>
    </row>
    <row r="816" spans="2:17" x14ac:dyDescent="0.25">
      <c r="B816" s="92">
        <v>0</v>
      </c>
      <c r="C816" s="90">
        <v>0</v>
      </c>
      <c r="D816" s="91">
        <v>0</v>
      </c>
      <c r="E816" s="92">
        <v>0</v>
      </c>
      <c r="F816" s="92">
        <v>0</v>
      </c>
      <c r="G816" s="92">
        <v>0</v>
      </c>
      <c r="H816" s="91">
        <v>0</v>
      </c>
      <c r="I816" s="91">
        <v>0</v>
      </c>
      <c r="J816" s="93">
        <v>0</v>
      </c>
      <c r="K816" s="93">
        <v>0</v>
      </c>
      <c r="L816" s="93">
        <v>0</v>
      </c>
      <c r="M816" s="93">
        <v>0</v>
      </c>
      <c r="N816" s="94">
        <v>0</v>
      </c>
      <c r="O816" s="94" t="str">
        <v/>
      </c>
      <c r="P816" s="93">
        <v>0</v>
      </c>
      <c r="Q816" s="92">
        <v>0</v>
      </c>
    </row>
    <row r="817" spans="2:17" x14ac:dyDescent="0.25">
      <c r="B817" s="92">
        <v>0</v>
      </c>
      <c r="C817" s="90">
        <v>0</v>
      </c>
      <c r="D817" s="91">
        <v>0</v>
      </c>
      <c r="E817" s="92">
        <v>0</v>
      </c>
      <c r="F817" s="92">
        <v>0</v>
      </c>
      <c r="G817" s="92">
        <v>0</v>
      </c>
      <c r="H817" s="91">
        <v>0</v>
      </c>
      <c r="I817" s="91">
        <v>0</v>
      </c>
      <c r="J817" s="93">
        <v>0</v>
      </c>
      <c r="K817" s="93">
        <v>0</v>
      </c>
      <c r="L817" s="93">
        <v>0</v>
      </c>
      <c r="M817" s="93">
        <v>0</v>
      </c>
      <c r="N817" s="94">
        <v>0</v>
      </c>
      <c r="O817" s="94" t="str">
        <v/>
      </c>
      <c r="P817" s="93">
        <v>0</v>
      </c>
      <c r="Q817" s="92">
        <v>0</v>
      </c>
    </row>
    <row r="818" spans="2:17" x14ac:dyDescent="0.25">
      <c r="B818" s="92">
        <v>0</v>
      </c>
      <c r="C818" s="90">
        <v>0</v>
      </c>
      <c r="D818" s="91">
        <v>0</v>
      </c>
      <c r="E818" s="92">
        <v>0</v>
      </c>
      <c r="F818" s="92">
        <v>0</v>
      </c>
      <c r="G818" s="92">
        <v>0</v>
      </c>
      <c r="H818" s="91">
        <v>0</v>
      </c>
      <c r="I818" s="91">
        <v>0</v>
      </c>
      <c r="J818" s="93">
        <v>0</v>
      </c>
      <c r="K818" s="93">
        <v>0</v>
      </c>
      <c r="L818" s="93">
        <v>0</v>
      </c>
      <c r="M818" s="93">
        <v>0</v>
      </c>
      <c r="N818" s="94">
        <v>0</v>
      </c>
      <c r="O818" s="94" t="str">
        <v/>
      </c>
      <c r="P818" s="93">
        <v>0</v>
      </c>
      <c r="Q818" s="92">
        <v>0</v>
      </c>
    </row>
    <row r="819" spans="2:17" x14ac:dyDescent="0.25">
      <c r="B819" s="92">
        <v>0</v>
      </c>
      <c r="C819" s="90">
        <v>0</v>
      </c>
      <c r="D819" s="91">
        <v>0</v>
      </c>
      <c r="E819" s="92">
        <v>0</v>
      </c>
      <c r="F819" s="92">
        <v>0</v>
      </c>
      <c r="G819" s="92">
        <v>0</v>
      </c>
      <c r="H819" s="91">
        <v>0</v>
      </c>
      <c r="I819" s="91">
        <v>0</v>
      </c>
      <c r="J819" s="93">
        <v>0</v>
      </c>
      <c r="K819" s="93">
        <v>0</v>
      </c>
      <c r="L819" s="93">
        <v>0</v>
      </c>
      <c r="M819" s="93">
        <v>0</v>
      </c>
      <c r="N819" s="94">
        <v>0</v>
      </c>
      <c r="O819" s="94" t="str">
        <v/>
      </c>
      <c r="P819" s="93">
        <v>0</v>
      </c>
      <c r="Q819" s="92">
        <v>0</v>
      </c>
    </row>
    <row r="820" spans="2:17" x14ac:dyDescent="0.25">
      <c r="B820" s="92">
        <v>0</v>
      </c>
      <c r="C820" s="90">
        <v>0</v>
      </c>
      <c r="D820" s="91">
        <v>0</v>
      </c>
      <c r="E820" s="92">
        <v>0</v>
      </c>
      <c r="F820" s="92">
        <v>0</v>
      </c>
      <c r="G820" s="92">
        <v>0</v>
      </c>
      <c r="H820" s="91">
        <v>0</v>
      </c>
      <c r="I820" s="91">
        <v>0</v>
      </c>
      <c r="J820" s="93">
        <v>0</v>
      </c>
      <c r="K820" s="93">
        <v>0</v>
      </c>
      <c r="L820" s="93">
        <v>0</v>
      </c>
      <c r="M820" s="93">
        <v>0</v>
      </c>
      <c r="N820" s="94">
        <v>0</v>
      </c>
      <c r="O820" s="94" t="str">
        <v/>
      </c>
      <c r="P820" s="93">
        <v>0</v>
      </c>
      <c r="Q820" s="92">
        <v>0</v>
      </c>
    </row>
    <row r="821" spans="2:17" x14ac:dyDescent="0.25">
      <c r="B821" s="92">
        <v>0</v>
      </c>
      <c r="C821" s="90">
        <v>0</v>
      </c>
      <c r="D821" s="91">
        <v>0</v>
      </c>
      <c r="E821" s="92">
        <v>0</v>
      </c>
      <c r="F821" s="92">
        <v>0</v>
      </c>
      <c r="G821" s="92">
        <v>0</v>
      </c>
      <c r="H821" s="91">
        <v>0</v>
      </c>
      <c r="I821" s="91">
        <v>0</v>
      </c>
      <c r="J821" s="93">
        <v>0</v>
      </c>
      <c r="K821" s="93">
        <v>0</v>
      </c>
      <c r="L821" s="93">
        <v>0</v>
      </c>
      <c r="M821" s="93">
        <v>0</v>
      </c>
      <c r="N821" s="94">
        <v>0</v>
      </c>
      <c r="O821" s="94" t="str">
        <v/>
      </c>
      <c r="P821" s="93">
        <v>0</v>
      </c>
      <c r="Q821" s="92">
        <v>0</v>
      </c>
    </row>
    <row r="822" spans="2:17" x14ac:dyDescent="0.25">
      <c r="B822" s="92">
        <v>0</v>
      </c>
      <c r="C822" s="90">
        <v>0</v>
      </c>
      <c r="D822" s="91">
        <v>0</v>
      </c>
      <c r="E822" s="92">
        <v>0</v>
      </c>
      <c r="F822" s="92">
        <v>0</v>
      </c>
      <c r="G822" s="92">
        <v>0</v>
      </c>
      <c r="H822" s="91">
        <v>0</v>
      </c>
      <c r="I822" s="91">
        <v>0</v>
      </c>
      <c r="J822" s="93">
        <v>0</v>
      </c>
      <c r="K822" s="93">
        <v>0</v>
      </c>
      <c r="L822" s="93">
        <v>0</v>
      </c>
      <c r="M822" s="93">
        <v>0</v>
      </c>
      <c r="N822" s="94">
        <v>0</v>
      </c>
      <c r="O822" s="94" t="str">
        <v/>
      </c>
      <c r="P822" s="93">
        <v>0</v>
      </c>
      <c r="Q822" s="92">
        <v>0</v>
      </c>
    </row>
    <row r="823" spans="2:17" x14ac:dyDescent="0.25">
      <c r="B823" s="92">
        <v>0</v>
      </c>
      <c r="C823" s="90">
        <v>0</v>
      </c>
      <c r="D823" s="91">
        <v>0</v>
      </c>
      <c r="E823" s="92">
        <v>0</v>
      </c>
      <c r="F823" s="92">
        <v>0</v>
      </c>
      <c r="G823" s="92">
        <v>0</v>
      </c>
      <c r="H823" s="91">
        <v>0</v>
      </c>
      <c r="I823" s="91">
        <v>0</v>
      </c>
      <c r="J823" s="93">
        <v>0</v>
      </c>
      <c r="K823" s="93">
        <v>0</v>
      </c>
      <c r="L823" s="93">
        <v>0</v>
      </c>
      <c r="M823" s="93">
        <v>0</v>
      </c>
      <c r="N823" s="94">
        <v>0</v>
      </c>
      <c r="O823" s="94" t="str">
        <v/>
      </c>
      <c r="P823" s="93">
        <v>0</v>
      </c>
      <c r="Q823" s="92">
        <v>0</v>
      </c>
    </row>
    <row r="824" spans="2:17" x14ac:dyDescent="0.25">
      <c r="B824" s="92">
        <v>0</v>
      </c>
      <c r="C824" s="90">
        <v>0</v>
      </c>
      <c r="D824" s="91">
        <v>0</v>
      </c>
      <c r="E824" s="92">
        <v>0</v>
      </c>
      <c r="F824" s="92">
        <v>0</v>
      </c>
      <c r="G824" s="92">
        <v>0</v>
      </c>
      <c r="H824" s="91">
        <v>0</v>
      </c>
      <c r="I824" s="91">
        <v>0</v>
      </c>
      <c r="J824" s="93">
        <v>0</v>
      </c>
      <c r="K824" s="93">
        <v>0</v>
      </c>
      <c r="L824" s="93">
        <v>0</v>
      </c>
      <c r="M824" s="93">
        <v>0</v>
      </c>
      <c r="N824" s="94">
        <v>0</v>
      </c>
      <c r="O824" s="94" t="str">
        <v/>
      </c>
      <c r="P824" s="93">
        <v>0</v>
      </c>
      <c r="Q824" s="92">
        <v>0</v>
      </c>
    </row>
    <row r="825" spans="2:17" x14ac:dyDescent="0.25">
      <c r="B825" s="92">
        <v>0</v>
      </c>
      <c r="C825" s="90">
        <v>0</v>
      </c>
      <c r="D825" s="91">
        <v>0</v>
      </c>
      <c r="E825" s="92">
        <v>0</v>
      </c>
      <c r="F825" s="92">
        <v>0</v>
      </c>
      <c r="G825" s="92">
        <v>0</v>
      </c>
      <c r="H825" s="91">
        <v>0</v>
      </c>
      <c r="I825" s="91">
        <v>0</v>
      </c>
      <c r="J825" s="93">
        <v>0</v>
      </c>
      <c r="K825" s="93">
        <v>0</v>
      </c>
      <c r="L825" s="93">
        <v>0</v>
      </c>
      <c r="M825" s="93">
        <v>0</v>
      </c>
      <c r="N825" s="94">
        <v>0</v>
      </c>
      <c r="O825" s="94" t="str">
        <v/>
      </c>
      <c r="P825" s="93">
        <v>0</v>
      </c>
      <c r="Q825" s="92">
        <v>0</v>
      </c>
    </row>
    <row r="826" spans="2:17" x14ac:dyDescent="0.25">
      <c r="B826" s="92">
        <v>0</v>
      </c>
      <c r="C826" s="90">
        <v>0</v>
      </c>
      <c r="D826" s="91">
        <v>0</v>
      </c>
      <c r="E826" s="92">
        <v>0</v>
      </c>
      <c r="F826" s="92">
        <v>0</v>
      </c>
      <c r="G826" s="92">
        <v>0</v>
      </c>
      <c r="H826" s="91">
        <v>0</v>
      </c>
      <c r="I826" s="91">
        <v>0</v>
      </c>
      <c r="J826" s="93">
        <v>0</v>
      </c>
      <c r="K826" s="93">
        <v>0</v>
      </c>
      <c r="L826" s="93">
        <v>0</v>
      </c>
      <c r="M826" s="93">
        <v>0</v>
      </c>
      <c r="N826" s="94">
        <v>0</v>
      </c>
      <c r="O826" s="94" t="str">
        <v/>
      </c>
      <c r="P826" s="93">
        <v>0</v>
      </c>
      <c r="Q826" s="92">
        <v>0</v>
      </c>
    </row>
    <row r="827" spans="2:17" x14ac:dyDescent="0.25">
      <c r="B827" s="92">
        <v>0</v>
      </c>
      <c r="C827" s="90">
        <v>0</v>
      </c>
      <c r="D827" s="91">
        <v>0</v>
      </c>
      <c r="E827" s="92">
        <v>0</v>
      </c>
      <c r="F827" s="92">
        <v>0</v>
      </c>
      <c r="G827" s="92">
        <v>0</v>
      </c>
      <c r="H827" s="91">
        <v>0</v>
      </c>
      <c r="I827" s="91">
        <v>0</v>
      </c>
      <c r="J827" s="93">
        <v>0</v>
      </c>
      <c r="K827" s="93">
        <v>0</v>
      </c>
      <c r="L827" s="93">
        <v>0</v>
      </c>
      <c r="M827" s="93">
        <v>0</v>
      </c>
      <c r="N827" s="94">
        <v>0</v>
      </c>
      <c r="O827" s="94" t="str">
        <v/>
      </c>
      <c r="P827" s="93">
        <v>0</v>
      </c>
      <c r="Q827" s="92">
        <v>0</v>
      </c>
    </row>
    <row r="828" spans="2:17" x14ac:dyDescent="0.25">
      <c r="B828" s="92">
        <v>0</v>
      </c>
      <c r="C828" s="90">
        <v>0</v>
      </c>
      <c r="D828" s="91">
        <v>0</v>
      </c>
      <c r="E828" s="92">
        <v>0</v>
      </c>
      <c r="F828" s="92">
        <v>0</v>
      </c>
      <c r="G828" s="92">
        <v>0</v>
      </c>
      <c r="H828" s="91">
        <v>0</v>
      </c>
      <c r="I828" s="91">
        <v>0</v>
      </c>
      <c r="J828" s="93">
        <v>0</v>
      </c>
      <c r="K828" s="93">
        <v>0</v>
      </c>
      <c r="L828" s="93">
        <v>0</v>
      </c>
      <c r="M828" s="93">
        <v>0</v>
      </c>
      <c r="N828" s="94">
        <v>0</v>
      </c>
      <c r="O828" s="94" t="str">
        <v/>
      </c>
      <c r="P828" s="93">
        <v>0</v>
      </c>
      <c r="Q828" s="92">
        <v>0</v>
      </c>
    </row>
    <row r="829" spans="2:17" x14ac:dyDescent="0.25">
      <c r="B829" s="92">
        <v>0</v>
      </c>
      <c r="C829" s="90">
        <v>0</v>
      </c>
      <c r="D829" s="91">
        <v>0</v>
      </c>
      <c r="E829" s="92">
        <v>0</v>
      </c>
      <c r="F829" s="92">
        <v>0</v>
      </c>
      <c r="G829" s="92">
        <v>0</v>
      </c>
      <c r="H829" s="91">
        <v>0</v>
      </c>
      <c r="I829" s="91">
        <v>0</v>
      </c>
      <c r="J829" s="93">
        <v>0</v>
      </c>
      <c r="K829" s="93">
        <v>0</v>
      </c>
      <c r="L829" s="93">
        <v>0</v>
      </c>
      <c r="M829" s="93">
        <v>0</v>
      </c>
      <c r="N829" s="94">
        <v>0</v>
      </c>
      <c r="O829" s="94" t="str">
        <v/>
      </c>
      <c r="P829" s="93">
        <v>0</v>
      </c>
      <c r="Q829" s="92">
        <v>0</v>
      </c>
    </row>
    <row r="830" spans="2:17" x14ac:dyDescent="0.25">
      <c r="B830" s="92">
        <v>0</v>
      </c>
      <c r="C830" s="90">
        <v>0</v>
      </c>
      <c r="D830" s="91">
        <v>0</v>
      </c>
      <c r="E830" s="92">
        <v>0</v>
      </c>
      <c r="F830" s="92">
        <v>0</v>
      </c>
      <c r="G830" s="92">
        <v>0</v>
      </c>
      <c r="H830" s="91">
        <v>0</v>
      </c>
      <c r="I830" s="91">
        <v>0</v>
      </c>
      <c r="J830" s="93">
        <v>0</v>
      </c>
      <c r="K830" s="93">
        <v>0</v>
      </c>
      <c r="L830" s="93">
        <v>0</v>
      </c>
      <c r="M830" s="93">
        <v>0</v>
      </c>
      <c r="N830" s="94">
        <v>0</v>
      </c>
      <c r="O830" s="94" t="str">
        <v/>
      </c>
      <c r="P830" s="93">
        <v>0</v>
      </c>
      <c r="Q830" s="92">
        <v>0</v>
      </c>
    </row>
    <row r="831" spans="2:17" x14ac:dyDescent="0.25">
      <c r="B831" s="92">
        <v>0</v>
      </c>
      <c r="C831" s="90">
        <v>0</v>
      </c>
      <c r="D831" s="91">
        <v>0</v>
      </c>
      <c r="E831" s="92">
        <v>0</v>
      </c>
      <c r="F831" s="92">
        <v>0</v>
      </c>
      <c r="G831" s="92">
        <v>0</v>
      </c>
      <c r="H831" s="91">
        <v>0</v>
      </c>
      <c r="I831" s="91">
        <v>0</v>
      </c>
      <c r="J831" s="93">
        <v>0</v>
      </c>
      <c r="K831" s="93">
        <v>0</v>
      </c>
      <c r="L831" s="93">
        <v>0</v>
      </c>
      <c r="M831" s="93">
        <v>0</v>
      </c>
      <c r="N831" s="94">
        <v>0</v>
      </c>
      <c r="O831" s="94" t="str">
        <v/>
      </c>
      <c r="P831" s="93">
        <v>0</v>
      </c>
      <c r="Q831" s="92">
        <v>0</v>
      </c>
    </row>
    <row r="832" spans="2:17" x14ac:dyDescent="0.25">
      <c r="B832" s="92">
        <v>0</v>
      </c>
      <c r="C832" s="90">
        <v>0</v>
      </c>
      <c r="D832" s="91">
        <v>0</v>
      </c>
      <c r="E832" s="92">
        <v>0</v>
      </c>
      <c r="F832" s="92">
        <v>0</v>
      </c>
      <c r="G832" s="92">
        <v>0</v>
      </c>
      <c r="H832" s="91">
        <v>0</v>
      </c>
      <c r="I832" s="91">
        <v>0</v>
      </c>
      <c r="J832" s="93">
        <v>0</v>
      </c>
      <c r="K832" s="93">
        <v>0</v>
      </c>
      <c r="L832" s="93">
        <v>0</v>
      </c>
      <c r="M832" s="93">
        <v>0</v>
      </c>
      <c r="N832" s="94">
        <v>0</v>
      </c>
      <c r="O832" s="94" t="str">
        <v/>
      </c>
      <c r="P832" s="93">
        <v>0</v>
      </c>
      <c r="Q832" s="92">
        <v>0</v>
      </c>
    </row>
    <row r="833" spans="2:17" x14ac:dyDescent="0.25">
      <c r="B833" s="92">
        <v>0</v>
      </c>
      <c r="C833" s="90">
        <v>0</v>
      </c>
      <c r="D833" s="91">
        <v>0</v>
      </c>
      <c r="E833" s="92">
        <v>0</v>
      </c>
      <c r="F833" s="92">
        <v>0</v>
      </c>
      <c r="G833" s="92">
        <v>0</v>
      </c>
      <c r="H833" s="91">
        <v>0</v>
      </c>
      <c r="I833" s="91">
        <v>0</v>
      </c>
      <c r="J833" s="93">
        <v>0</v>
      </c>
      <c r="K833" s="93">
        <v>0</v>
      </c>
      <c r="L833" s="93">
        <v>0</v>
      </c>
      <c r="M833" s="93">
        <v>0</v>
      </c>
      <c r="N833" s="94">
        <v>0</v>
      </c>
      <c r="O833" s="94" t="str">
        <v/>
      </c>
      <c r="P833" s="93">
        <v>0</v>
      </c>
      <c r="Q833" s="92">
        <v>0</v>
      </c>
    </row>
    <row r="834" spans="2:17" x14ac:dyDescent="0.25">
      <c r="B834" s="92">
        <v>0</v>
      </c>
      <c r="C834" s="90">
        <v>0</v>
      </c>
      <c r="D834" s="91">
        <v>0</v>
      </c>
      <c r="E834" s="92">
        <v>0</v>
      </c>
      <c r="F834" s="92">
        <v>0</v>
      </c>
      <c r="G834" s="92">
        <v>0</v>
      </c>
      <c r="H834" s="91">
        <v>0</v>
      </c>
      <c r="I834" s="91">
        <v>0</v>
      </c>
      <c r="J834" s="93">
        <v>0</v>
      </c>
      <c r="K834" s="93">
        <v>0</v>
      </c>
      <c r="L834" s="93">
        <v>0</v>
      </c>
      <c r="M834" s="93">
        <v>0</v>
      </c>
      <c r="N834" s="94">
        <v>0</v>
      </c>
      <c r="O834" s="94" t="str">
        <v/>
      </c>
      <c r="P834" s="93">
        <v>0</v>
      </c>
      <c r="Q834" s="92">
        <v>0</v>
      </c>
    </row>
    <row r="835" spans="2:17" x14ac:dyDescent="0.25">
      <c r="B835" s="92">
        <v>0</v>
      </c>
      <c r="C835" s="90">
        <v>0</v>
      </c>
      <c r="D835" s="91">
        <v>0</v>
      </c>
      <c r="E835" s="92">
        <v>0</v>
      </c>
      <c r="F835" s="92">
        <v>0</v>
      </c>
      <c r="G835" s="92">
        <v>0</v>
      </c>
      <c r="H835" s="91">
        <v>0</v>
      </c>
      <c r="I835" s="91">
        <v>0</v>
      </c>
      <c r="J835" s="93">
        <v>0</v>
      </c>
      <c r="K835" s="93">
        <v>0</v>
      </c>
      <c r="L835" s="93">
        <v>0</v>
      </c>
      <c r="M835" s="93">
        <v>0</v>
      </c>
      <c r="N835" s="94">
        <v>0</v>
      </c>
      <c r="O835" s="94" t="str">
        <v/>
      </c>
      <c r="P835" s="93">
        <v>0</v>
      </c>
      <c r="Q835" s="92">
        <v>0</v>
      </c>
    </row>
    <row r="836" spans="2:17" x14ac:dyDescent="0.25">
      <c r="B836" s="92">
        <v>0</v>
      </c>
      <c r="C836" s="90">
        <v>0</v>
      </c>
      <c r="D836" s="91">
        <v>0</v>
      </c>
      <c r="E836" s="92">
        <v>0</v>
      </c>
      <c r="F836" s="92">
        <v>0</v>
      </c>
      <c r="G836" s="92">
        <v>0</v>
      </c>
      <c r="H836" s="91">
        <v>0</v>
      </c>
      <c r="I836" s="91">
        <v>0</v>
      </c>
      <c r="J836" s="93">
        <v>0</v>
      </c>
      <c r="K836" s="93">
        <v>0</v>
      </c>
      <c r="L836" s="93">
        <v>0</v>
      </c>
      <c r="M836" s="93">
        <v>0</v>
      </c>
      <c r="N836" s="94">
        <v>0</v>
      </c>
      <c r="O836" s="94" t="str">
        <v/>
      </c>
      <c r="P836" s="93">
        <v>0</v>
      </c>
      <c r="Q836" s="92">
        <v>0</v>
      </c>
    </row>
    <row r="837" spans="2:17" x14ac:dyDescent="0.25">
      <c r="B837" s="92">
        <v>0</v>
      </c>
      <c r="C837" s="90">
        <v>0</v>
      </c>
      <c r="D837" s="91">
        <v>0</v>
      </c>
      <c r="E837" s="92">
        <v>0</v>
      </c>
      <c r="F837" s="92">
        <v>0</v>
      </c>
      <c r="G837" s="92">
        <v>0</v>
      </c>
      <c r="H837" s="91">
        <v>0</v>
      </c>
      <c r="I837" s="91">
        <v>0</v>
      </c>
      <c r="J837" s="93">
        <v>0</v>
      </c>
      <c r="K837" s="93">
        <v>0</v>
      </c>
      <c r="L837" s="93">
        <v>0</v>
      </c>
      <c r="M837" s="93">
        <v>0</v>
      </c>
      <c r="N837" s="94">
        <v>0</v>
      </c>
      <c r="O837" s="94" t="str">
        <v/>
      </c>
      <c r="P837" s="93">
        <v>0</v>
      </c>
      <c r="Q837" s="92">
        <v>0</v>
      </c>
    </row>
    <row r="838" spans="2:17" x14ac:dyDescent="0.25">
      <c r="B838" s="92">
        <v>0</v>
      </c>
      <c r="C838" s="90">
        <v>0</v>
      </c>
      <c r="D838" s="91">
        <v>0</v>
      </c>
      <c r="E838" s="92">
        <v>0</v>
      </c>
      <c r="F838" s="92">
        <v>0</v>
      </c>
      <c r="G838" s="92">
        <v>0</v>
      </c>
      <c r="H838" s="91">
        <v>0</v>
      </c>
      <c r="I838" s="91">
        <v>0</v>
      </c>
      <c r="J838" s="93">
        <v>0</v>
      </c>
      <c r="K838" s="93">
        <v>0</v>
      </c>
      <c r="L838" s="93">
        <v>0</v>
      </c>
      <c r="M838" s="93">
        <v>0</v>
      </c>
      <c r="N838" s="94">
        <v>0</v>
      </c>
      <c r="O838" s="94" t="str">
        <v/>
      </c>
      <c r="P838" s="93">
        <v>0</v>
      </c>
      <c r="Q838" s="92">
        <v>0</v>
      </c>
    </row>
    <row r="839" spans="2:17" x14ac:dyDescent="0.25">
      <c r="B839" s="92">
        <v>0</v>
      </c>
      <c r="C839" s="90">
        <v>0</v>
      </c>
      <c r="D839" s="91">
        <v>0</v>
      </c>
      <c r="E839" s="92">
        <v>0</v>
      </c>
      <c r="F839" s="92">
        <v>0</v>
      </c>
      <c r="G839" s="92">
        <v>0</v>
      </c>
      <c r="H839" s="91">
        <v>0</v>
      </c>
      <c r="I839" s="91">
        <v>0</v>
      </c>
      <c r="J839" s="93">
        <v>0</v>
      </c>
      <c r="K839" s="93">
        <v>0</v>
      </c>
      <c r="L839" s="93">
        <v>0</v>
      </c>
      <c r="M839" s="93">
        <v>0</v>
      </c>
      <c r="N839" s="94">
        <v>0</v>
      </c>
      <c r="O839" s="94" t="str">
        <v/>
      </c>
      <c r="P839" s="93">
        <v>0</v>
      </c>
      <c r="Q839" s="92">
        <v>0</v>
      </c>
    </row>
    <row r="840" spans="2:17" x14ac:dyDescent="0.25">
      <c r="B840" s="92">
        <v>0</v>
      </c>
      <c r="C840" s="90">
        <v>0</v>
      </c>
      <c r="D840" s="91">
        <v>0</v>
      </c>
      <c r="E840" s="92">
        <v>0</v>
      </c>
      <c r="F840" s="92">
        <v>0</v>
      </c>
      <c r="G840" s="92">
        <v>0</v>
      </c>
      <c r="H840" s="91">
        <v>0</v>
      </c>
      <c r="I840" s="91">
        <v>0</v>
      </c>
      <c r="J840" s="93">
        <v>0</v>
      </c>
      <c r="K840" s="93">
        <v>0</v>
      </c>
      <c r="L840" s="93">
        <v>0</v>
      </c>
      <c r="M840" s="93">
        <v>0</v>
      </c>
      <c r="N840" s="94">
        <v>0</v>
      </c>
      <c r="O840" s="94" t="str">
        <v/>
      </c>
      <c r="P840" s="93">
        <v>0</v>
      </c>
      <c r="Q840" s="92">
        <v>0</v>
      </c>
    </row>
    <row r="841" spans="2:17" x14ac:dyDescent="0.25">
      <c r="B841" s="92">
        <v>0</v>
      </c>
      <c r="C841" s="90">
        <v>0</v>
      </c>
      <c r="D841" s="91">
        <v>0</v>
      </c>
      <c r="E841" s="92">
        <v>0</v>
      </c>
      <c r="F841" s="92">
        <v>0</v>
      </c>
      <c r="G841" s="92">
        <v>0</v>
      </c>
      <c r="H841" s="91">
        <v>0</v>
      </c>
      <c r="I841" s="91">
        <v>0</v>
      </c>
      <c r="J841" s="93">
        <v>0</v>
      </c>
      <c r="K841" s="93">
        <v>0</v>
      </c>
      <c r="L841" s="93">
        <v>0</v>
      </c>
      <c r="M841" s="93">
        <v>0</v>
      </c>
      <c r="N841" s="94">
        <v>0</v>
      </c>
      <c r="O841" s="94" t="str">
        <v/>
      </c>
      <c r="P841" s="93">
        <v>0</v>
      </c>
      <c r="Q841" s="92">
        <v>0</v>
      </c>
    </row>
    <row r="842" spans="2:17" x14ac:dyDescent="0.25">
      <c r="B842" s="92">
        <v>0</v>
      </c>
      <c r="C842" s="90">
        <v>0</v>
      </c>
      <c r="D842" s="91">
        <v>0</v>
      </c>
      <c r="E842" s="92">
        <v>0</v>
      </c>
      <c r="F842" s="92">
        <v>0</v>
      </c>
      <c r="G842" s="92">
        <v>0</v>
      </c>
      <c r="H842" s="91">
        <v>0</v>
      </c>
      <c r="I842" s="91">
        <v>0</v>
      </c>
      <c r="J842" s="93">
        <v>0</v>
      </c>
      <c r="K842" s="93">
        <v>0</v>
      </c>
      <c r="L842" s="93">
        <v>0</v>
      </c>
      <c r="M842" s="93">
        <v>0</v>
      </c>
      <c r="N842" s="94">
        <v>0</v>
      </c>
      <c r="O842" s="94" t="str">
        <v/>
      </c>
      <c r="P842" s="93">
        <v>0</v>
      </c>
      <c r="Q842" s="92">
        <v>0</v>
      </c>
    </row>
    <row r="843" spans="2:17" x14ac:dyDescent="0.25">
      <c r="B843" s="92">
        <v>0</v>
      </c>
      <c r="C843" s="90">
        <v>0</v>
      </c>
      <c r="D843" s="91">
        <v>0</v>
      </c>
      <c r="E843" s="92">
        <v>0</v>
      </c>
      <c r="F843" s="92">
        <v>0</v>
      </c>
      <c r="G843" s="92">
        <v>0</v>
      </c>
      <c r="H843" s="91">
        <v>0</v>
      </c>
      <c r="I843" s="91">
        <v>0</v>
      </c>
      <c r="J843" s="93">
        <v>0</v>
      </c>
      <c r="K843" s="93">
        <v>0</v>
      </c>
      <c r="L843" s="93">
        <v>0</v>
      </c>
      <c r="M843" s="93">
        <v>0</v>
      </c>
      <c r="N843" s="94">
        <v>0</v>
      </c>
      <c r="O843" s="94" t="str">
        <v/>
      </c>
      <c r="P843" s="93">
        <v>0</v>
      </c>
      <c r="Q843" s="92">
        <v>0</v>
      </c>
    </row>
    <row r="844" spans="2:17" x14ac:dyDescent="0.25">
      <c r="B844" s="92">
        <v>0</v>
      </c>
      <c r="C844" s="90">
        <v>0</v>
      </c>
      <c r="D844" s="91">
        <v>0</v>
      </c>
      <c r="E844" s="92">
        <v>0</v>
      </c>
      <c r="F844" s="92">
        <v>0</v>
      </c>
      <c r="G844" s="92">
        <v>0</v>
      </c>
      <c r="H844" s="91">
        <v>0</v>
      </c>
      <c r="I844" s="91">
        <v>0</v>
      </c>
      <c r="J844" s="93">
        <v>0</v>
      </c>
      <c r="K844" s="93">
        <v>0</v>
      </c>
      <c r="L844" s="93">
        <v>0</v>
      </c>
      <c r="M844" s="93">
        <v>0</v>
      </c>
      <c r="N844" s="94">
        <v>0</v>
      </c>
      <c r="O844" s="94">
        <v>0</v>
      </c>
      <c r="P844" s="93">
        <v>0</v>
      </c>
      <c r="Q844" s="92">
        <v>0</v>
      </c>
    </row>
    <row r="845" spans="2:17" x14ac:dyDescent="0.25">
      <c r="B845" s="92">
        <v>0</v>
      </c>
      <c r="C845" s="90">
        <v>0</v>
      </c>
      <c r="D845" s="91">
        <v>0</v>
      </c>
      <c r="E845" s="92">
        <v>0</v>
      </c>
      <c r="F845" s="92">
        <v>0</v>
      </c>
      <c r="G845" s="92">
        <v>0</v>
      </c>
      <c r="H845" s="91">
        <v>0</v>
      </c>
      <c r="I845" s="91">
        <v>0</v>
      </c>
      <c r="J845" s="93">
        <v>0</v>
      </c>
      <c r="K845" s="93">
        <v>0</v>
      </c>
      <c r="L845" s="93">
        <v>0</v>
      </c>
      <c r="M845" s="93">
        <v>0</v>
      </c>
      <c r="N845" s="94">
        <v>0</v>
      </c>
      <c r="O845" s="94">
        <v>0</v>
      </c>
      <c r="P845" s="93">
        <v>0</v>
      </c>
      <c r="Q845" s="92">
        <v>0</v>
      </c>
    </row>
    <row r="846" spans="2:17" x14ac:dyDescent="0.25">
      <c r="B846" s="92">
        <v>0</v>
      </c>
      <c r="C846" s="90">
        <v>0</v>
      </c>
      <c r="D846" s="91">
        <v>0</v>
      </c>
      <c r="E846" s="92">
        <v>0</v>
      </c>
      <c r="F846" s="92">
        <v>0</v>
      </c>
      <c r="G846" s="92">
        <v>0</v>
      </c>
      <c r="H846" s="91">
        <v>0</v>
      </c>
      <c r="I846" s="91">
        <v>0</v>
      </c>
      <c r="J846" s="93">
        <v>0</v>
      </c>
      <c r="K846" s="93">
        <v>0</v>
      </c>
      <c r="L846" s="93">
        <v>0</v>
      </c>
      <c r="M846" s="93">
        <v>0</v>
      </c>
      <c r="N846" s="94">
        <v>0</v>
      </c>
      <c r="O846" s="94">
        <v>0</v>
      </c>
      <c r="P846" s="93">
        <v>0</v>
      </c>
      <c r="Q846" s="92">
        <v>0</v>
      </c>
    </row>
    <row r="847" spans="2:17" x14ac:dyDescent="0.25">
      <c r="B847" s="92">
        <v>0</v>
      </c>
      <c r="C847" s="90">
        <v>0</v>
      </c>
      <c r="D847" s="91">
        <v>0</v>
      </c>
      <c r="E847" s="92">
        <v>0</v>
      </c>
      <c r="F847" s="92">
        <v>0</v>
      </c>
      <c r="G847" s="92">
        <v>0</v>
      </c>
      <c r="H847" s="91">
        <v>0</v>
      </c>
      <c r="I847" s="91">
        <v>0</v>
      </c>
      <c r="J847" s="93">
        <v>0</v>
      </c>
      <c r="K847" s="93">
        <v>0</v>
      </c>
      <c r="L847" s="93">
        <v>0</v>
      </c>
      <c r="M847" s="93">
        <v>0</v>
      </c>
      <c r="N847" s="94">
        <v>0</v>
      </c>
      <c r="O847" s="94">
        <v>0</v>
      </c>
      <c r="P847" s="93">
        <v>0</v>
      </c>
      <c r="Q847" s="92">
        <v>0</v>
      </c>
    </row>
    <row r="848" spans="2:17" x14ac:dyDescent="0.25">
      <c r="B848" s="92">
        <v>0</v>
      </c>
      <c r="C848" s="90">
        <v>0</v>
      </c>
      <c r="D848" s="91">
        <v>0</v>
      </c>
      <c r="E848" s="92">
        <v>0</v>
      </c>
      <c r="F848" s="92">
        <v>0</v>
      </c>
      <c r="G848" s="92">
        <v>0</v>
      </c>
      <c r="H848" s="91">
        <v>0</v>
      </c>
      <c r="I848" s="91">
        <v>0</v>
      </c>
      <c r="J848" s="93">
        <v>0</v>
      </c>
      <c r="K848" s="93">
        <v>0</v>
      </c>
      <c r="L848" s="93">
        <v>0</v>
      </c>
      <c r="M848" s="93">
        <v>0</v>
      </c>
      <c r="N848" s="94">
        <v>0</v>
      </c>
      <c r="O848" s="94">
        <v>0</v>
      </c>
      <c r="P848" s="93">
        <v>0</v>
      </c>
      <c r="Q848" s="92">
        <v>0</v>
      </c>
    </row>
    <row r="849" spans="2:17" x14ac:dyDescent="0.25">
      <c r="B849" s="92">
        <v>0</v>
      </c>
      <c r="C849" s="90">
        <v>0</v>
      </c>
      <c r="D849" s="91">
        <v>0</v>
      </c>
      <c r="E849" s="92">
        <v>0</v>
      </c>
      <c r="F849" s="92">
        <v>0</v>
      </c>
      <c r="G849" s="92">
        <v>0</v>
      </c>
      <c r="H849" s="91">
        <v>0</v>
      </c>
      <c r="I849" s="91">
        <v>0</v>
      </c>
      <c r="J849" s="93">
        <v>0</v>
      </c>
      <c r="K849" s="93">
        <v>0</v>
      </c>
      <c r="L849" s="93">
        <v>0</v>
      </c>
      <c r="M849" s="93">
        <v>0</v>
      </c>
      <c r="N849" s="94">
        <v>0</v>
      </c>
      <c r="O849" s="94">
        <v>0</v>
      </c>
      <c r="P849" s="93">
        <v>0</v>
      </c>
      <c r="Q849" s="92">
        <v>0</v>
      </c>
    </row>
    <row r="850" spans="2:17" x14ac:dyDescent="0.25">
      <c r="B850" s="92">
        <v>0</v>
      </c>
      <c r="C850" s="90">
        <v>0</v>
      </c>
      <c r="D850" s="91">
        <v>0</v>
      </c>
      <c r="E850" s="92">
        <v>0</v>
      </c>
      <c r="F850" s="92">
        <v>0</v>
      </c>
      <c r="G850" s="92">
        <v>0</v>
      </c>
      <c r="H850" s="91">
        <v>0</v>
      </c>
      <c r="I850" s="91">
        <v>0</v>
      </c>
      <c r="J850" s="93">
        <v>0</v>
      </c>
      <c r="K850" s="93">
        <v>0</v>
      </c>
      <c r="L850" s="93">
        <v>0</v>
      </c>
      <c r="M850" s="93">
        <v>0</v>
      </c>
      <c r="N850" s="94">
        <v>0</v>
      </c>
      <c r="O850" s="94">
        <v>0</v>
      </c>
      <c r="P850" s="93">
        <v>0</v>
      </c>
      <c r="Q850" s="92">
        <v>0</v>
      </c>
    </row>
    <row r="851" spans="2:17" x14ac:dyDescent="0.25">
      <c r="B851" s="92">
        <v>0</v>
      </c>
      <c r="C851" s="90">
        <v>0</v>
      </c>
      <c r="D851" s="91">
        <v>0</v>
      </c>
      <c r="E851" s="92">
        <v>0</v>
      </c>
      <c r="F851" s="92">
        <v>0</v>
      </c>
      <c r="G851" s="92">
        <v>0</v>
      </c>
      <c r="H851" s="91">
        <v>0</v>
      </c>
      <c r="I851" s="91">
        <v>0</v>
      </c>
      <c r="J851" s="93">
        <v>0</v>
      </c>
      <c r="K851" s="93">
        <v>0</v>
      </c>
      <c r="L851" s="93">
        <v>0</v>
      </c>
      <c r="M851" s="93">
        <v>0</v>
      </c>
      <c r="N851" s="94">
        <v>0</v>
      </c>
      <c r="O851" s="94">
        <v>0</v>
      </c>
      <c r="P851" s="93">
        <v>0</v>
      </c>
      <c r="Q851" s="92">
        <v>0</v>
      </c>
    </row>
    <row r="852" spans="2:17" x14ac:dyDescent="0.25">
      <c r="B852" s="92">
        <v>0</v>
      </c>
      <c r="C852" s="90">
        <v>0</v>
      </c>
      <c r="D852" s="91">
        <v>0</v>
      </c>
      <c r="E852" s="92">
        <v>0</v>
      </c>
      <c r="F852" s="92">
        <v>0</v>
      </c>
      <c r="G852" s="92">
        <v>0</v>
      </c>
      <c r="H852" s="91">
        <v>0</v>
      </c>
      <c r="I852" s="91">
        <v>0</v>
      </c>
      <c r="J852" s="93">
        <v>0</v>
      </c>
      <c r="K852" s="93">
        <v>0</v>
      </c>
      <c r="L852" s="93">
        <v>0</v>
      </c>
      <c r="M852" s="93">
        <v>0</v>
      </c>
      <c r="N852" s="94">
        <v>0</v>
      </c>
      <c r="O852" s="94">
        <v>0</v>
      </c>
      <c r="P852" s="93">
        <v>0</v>
      </c>
      <c r="Q852" s="92">
        <v>0</v>
      </c>
    </row>
    <row r="853" spans="2:17" x14ac:dyDescent="0.25">
      <c r="B853" s="92">
        <v>0</v>
      </c>
      <c r="C853" s="90">
        <v>0</v>
      </c>
      <c r="D853" s="91">
        <v>0</v>
      </c>
      <c r="E853" s="92">
        <v>0</v>
      </c>
      <c r="F853" s="92">
        <v>0</v>
      </c>
      <c r="G853" s="92">
        <v>0</v>
      </c>
      <c r="H853" s="91">
        <v>0</v>
      </c>
      <c r="I853" s="91">
        <v>0</v>
      </c>
      <c r="J853" s="93">
        <v>0</v>
      </c>
      <c r="K853" s="93">
        <v>0</v>
      </c>
      <c r="L853" s="93">
        <v>0</v>
      </c>
      <c r="M853" s="93">
        <v>0</v>
      </c>
      <c r="N853" s="94">
        <v>0</v>
      </c>
      <c r="O853" s="94">
        <v>0</v>
      </c>
      <c r="P853" s="93">
        <v>0</v>
      </c>
      <c r="Q853" s="92">
        <v>0</v>
      </c>
    </row>
    <row r="854" spans="2:17" x14ac:dyDescent="0.25">
      <c r="B854" s="92">
        <v>0</v>
      </c>
      <c r="C854" s="90">
        <v>0</v>
      </c>
      <c r="D854" s="91">
        <v>0</v>
      </c>
      <c r="E854" s="92">
        <v>0</v>
      </c>
      <c r="F854" s="92">
        <v>0</v>
      </c>
      <c r="G854" s="92">
        <v>0</v>
      </c>
      <c r="H854" s="91">
        <v>0</v>
      </c>
      <c r="I854" s="91">
        <v>0</v>
      </c>
      <c r="J854" s="93">
        <v>0</v>
      </c>
      <c r="K854" s="93">
        <v>0</v>
      </c>
      <c r="L854" s="93">
        <v>0</v>
      </c>
      <c r="M854" s="93">
        <v>0</v>
      </c>
      <c r="N854" s="94">
        <v>0</v>
      </c>
      <c r="O854" s="94">
        <v>0</v>
      </c>
      <c r="P854" s="93">
        <v>0</v>
      </c>
      <c r="Q854" s="92">
        <v>0</v>
      </c>
    </row>
    <row r="855" spans="2:17" x14ac:dyDescent="0.25">
      <c r="B855" s="92">
        <v>0</v>
      </c>
      <c r="C855" s="90">
        <v>0</v>
      </c>
      <c r="D855" s="91">
        <v>0</v>
      </c>
      <c r="E855" s="92">
        <v>0</v>
      </c>
      <c r="F855" s="92">
        <v>0</v>
      </c>
      <c r="G855" s="92">
        <v>0</v>
      </c>
      <c r="H855" s="91">
        <v>0</v>
      </c>
      <c r="I855" s="91">
        <v>0</v>
      </c>
      <c r="J855" s="93">
        <v>0</v>
      </c>
      <c r="K855" s="93">
        <v>0</v>
      </c>
      <c r="L855" s="93">
        <v>0</v>
      </c>
      <c r="M855" s="93">
        <v>0</v>
      </c>
      <c r="N855" s="94">
        <v>0</v>
      </c>
      <c r="O855" s="94">
        <v>0</v>
      </c>
      <c r="P855" s="93">
        <v>0</v>
      </c>
      <c r="Q855" s="92">
        <v>0</v>
      </c>
    </row>
    <row r="856" spans="2:17" x14ac:dyDescent="0.25">
      <c r="B856" s="92">
        <v>0</v>
      </c>
      <c r="C856" s="90">
        <v>0</v>
      </c>
      <c r="D856" s="91">
        <v>0</v>
      </c>
      <c r="E856" s="92">
        <v>0</v>
      </c>
      <c r="F856" s="92">
        <v>0</v>
      </c>
      <c r="G856" s="92">
        <v>0</v>
      </c>
      <c r="H856" s="91">
        <v>0</v>
      </c>
      <c r="I856" s="91">
        <v>0</v>
      </c>
      <c r="J856" s="93">
        <v>0</v>
      </c>
      <c r="K856" s="93">
        <v>0</v>
      </c>
      <c r="L856" s="93">
        <v>0</v>
      </c>
      <c r="M856" s="93">
        <v>0</v>
      </c>
      <c r="N856" s="94">
        <v>0</v>
      </c>
      <c r="O856" s="94">
        <v>0</v>
      </c>
      <c r="P856" s="93">
        <v>0</v>
      </c>
      <c r="Q856" s="92">
        <v>0</v>
      </c>
    </row>
    <row r="857" spans="2:17" x14ac:dyDescent="0.25">
      <c r="B857" s="92">
        <v>0</v>
      </c>
      <c r="C857" s="90">
        <v>0</v>
      </c>
      <c r="D857" s="91">
        <v>0</v>
      </c>
      <c r="E857" s="92">
        <v>0</v>
      </c>
      <c r="F857" s="92">
        <v>0</v>
      </c>
      <c r="G857" s="92">
        <v>0</v>
      </c>
      <c r="H857" s="91">
        <v>0</v>
      </c>
      <c r="I857" s="91">
        <v>0</v>
      </c>
      <c r="J857" s="93">
        <v>0</v>
      </c>
      <c r="K857" s="93">
        <v>0</v>
      </c>
      <c r="L857" s="93">
        <v>0</v>
      </c>
      <c r="M857" s="93">
        <v>0</v>
      </c>
      <c r="N857" s="94">
        <v>0</v>
      </c>
      <c r="O857" s="94">
        <v>0</v>
      </c>
      <c r="P857" s="93">
        <v>0</v>
      </c>
      <c r="Q857" s="92">
        <v>0</v>
      </c>
    </row>
    <row r="858" spans="2:17" x14ac:dyDescent="0.25">
      <c r="B858" s="92">
        <v>0</v>
      </c>
      <c r="C858" s="90">
        <v>0</v>
      </c>
      <c r="D858" s="91">
        <v>0</v>
      </c>
      <c r="E858" s="92">
        <v>0</v>
      </c>
      <c r="F858" s="92">
        <v>0</v>
      </c>
      <c r="G858" s="92">
        <v>0</v>
      </c>
      <c r="H858" s="91">
        <v>0</v>
      </c>
      <c r="I858" s="91">
        <v>0</v>
      </c>
      <c r="J858" s="93">
        <v>0</v>
      </c>
      <c r="K858" s="93">
        <v>0</v>
      </c>
      <c r="L858" s="93">
        <v>0</v>
      </c>
      <c r="M858" s="93">
        <v>0</v>
      </c>
      <c r="N858" s="94">
        <v>0</v>
      </c>
      <c r="O858" s="94">
        <v>0</v>
      </c>
      <c r="P858" s="93">
        <v>0</v>
      </c>
      <c r="Q858" s="92">
        <v>0</v>
      </c>
    </row>
    <row r="859" spans="2:17" x14ac:dyDescent="0.25">
      <c r="B859" s="92">
        <v>0</v>
      </c>
      <c r="C859" s="90">
        <v>0</v>
      </c>
      <c r="D859" s="91">
        <v>0</v>
      </c>
      <c r="E859" s="92">
        <v>0</v>
      </c>
      <c r="F859" s="92">
        <v>0</v>
      </c>
      <c r="G859" s="92">
        <v>0</v>
      </c>
      <c r="H859" s="91">
        <v>0</v>
      </c>
      <c r="I859" s="91">
        <v>0</v>
      </c>
      <c r="J859" s="93">
        <v>0</v>
      </c>
      <c r="K859" s="93">
        <v>0</v>
      </c>
      <c r="L859" s="93">
        <v>0</v>
      </c>
      <c r="M859" s="93">
        <v>0</v>
      </c>
      <c r="N859" s="94">
        <v>0</v>
      </c>
      <c r="O859" s="94">
        <v>0</v>
      </c>
      <c r="P859" s="93">
        <v>0</v>
      </c>
      <c r="Q859" s="92">
        <v>0</v>
      </c>
    </row>
    <row r="860" spans="2:17" x14ac:dyDescent="0.25">
      <c r="B860" s="92">
        <v>0</v>
      </c>
      <c r="C860" s="90">
        <v>0</v>
      </c>
      <c r="D860" s="91">
        <v>0</v>
      </c>
      <c r="E860" s="92">
        <v>0</v>
      </c>
      <c r="F860" s="92">
        <v>0</v>
      </c>
      <c r="G860" s="92">
        <v>0</v>
      </c>
      <c r="H860" s="91">
        <v>0</v>
      </c>
      <c r="I860" s="91">
        <v>0</v>
      </c>
      <c r="J860" s="93">
        <v>0</v>
      </c>
      <c r="K860" s="93">
        <v>0</v>
      </c>
      <c r="L860" s="93">
        <v>0</v>
      </c>
      <c r="M860" s="93">
        <v>0</v>
      </c>
      <c r="N860" s="94">
        <v>0</v>
      </c>
      <c r="O860" s="94">
        <v>0</v>
      </c>
      <c r="P860" s="93">
        <v>0</v>
      </c>
      <c r="Q860" s="92">
        <v>0</v>
      </c>
    </row>
    <row r="861" spans="2:17" x14ac:dyDescent="0.25">
      <c r="B861" s="92">
        <v>0</v>
      </c>
      <c r="C861" s="90">
        <v>0</v>
      </c>
      <c r="D861" s="91">
        <v>0</v>
      </c>
      <c r="E861" s="92">
        <v>0</v>
      </c>
      <c r="F861" s="92">
        <v>0</v>
      </c>
      <c r="G861" s="92">
        <v>0</v>
      </c>
      <c r="H861" s="91">
        <v>0</v>
      </c>
      <c r="I861" s="91">
        <v>0</v>
      </c>
      <c r="J861" s="93">
        <v>0</v>
      </c>
      <c r="K861" s="93">
        <v>0</v>
      </c>
      <c r="L861" s="93">
        <v>0</v>
      </c>
      <c r="M861" s="93">
        <v>0</v>
      </c>
      <c r="N861" s="94">
        <v>0</v>
      </c>
      <c r="O861" s="94">
        <v>0</v>
      </c>
      <c r="P861" s="93">
        <v>0</v>
      </c>
      <c r="Q861" s="92">
        <v>0</v>
      </c>
    </row>
    <row r="862" spans="2:17" x14ac:dyDescent="0.25">
      <c r="B862" s="92">
        <v>0</v>
      </c>
      <c r="C862" s="90">
        <v>0</v>
      </c>
      <c r="D862" s="91">
        <v>0</v>
      </c>
      <c r="E862" s="92">
        <v>0</v>
      </c>
      <c r="F862" s="92">
        <v>0</v>
      </c>
      <c r="G862" s="92">
        <v>0</v>
      </c>
      <c r="H862" s="91">
        <v>0</v>
      </c>
      <c r="I862" s="91">
        <v>0</v>
      </c>
      <c r="J862" s="93">
        <v>0</v>
      </c>
      <c r="K862" s="93">
        <v>0</v>
      </c>
      <c r="L862" s="93">
        <v>0</v>
      </c>
      <c r="M862" s="93">
        <v>0</v>
      </c>
      <c r="N862" s="94">
        <v>0</v>
      </c>
      <c r="O862" s="94">
        <v>0</v>
      </c>
      <c r="P862" s="93">
        <v>0</v>
      </c>
      <c r="Q862" s="92">
        <v>0</v>
      </c>
    </row>
    <row r="863" spans="2:17" x14ac:dyDescent="0.25">
      <c r="B863" s="92">
        <v>0</v>
      </c>
      <c r="C863" s="90">
        <v>0</v>
      </c>
      <c r="D863" s="91">
        <v>0</v>
      </c>
      <c r="E863" s="92">
        <v>0</v>
      </c>
      <c r="F863" s="92">
        <v>0</v>
      </c>
      <c r="G863" s="92">
        <v>0</v>
      </c>
      <c r="H863" s="91">
        <v>0</v>
      </c>
      <c r="I863" s="91">
        <v>0</v>
      </c>
      <c r="J863" s="93">
        <v>0</v>
      </c>
      <c r="K863" s="93">
        <v>0</v>
      </c>
      <c r="L863" s="93">
        <v>0</v>
      </c>
      <c r="M863" s="93">
        <v>0</v>
      </c>
      <c r="N863" s="94">
        <v>0</v>
      </c>
      <c r="O863" s="94">
        <v>0</v>
      </c>
      <c r="P863" s="93">
        <v>0</v>
      </c>
      <c r="Q863" s="92">
        <v>0</v>
      </c>
    </row>
    <row r="864" spans="2:17" x14ac:dyDescent="0.25">
      <c r="B864" s="92">
        <v>0</v>
      </c>
      <c r="C864" s="90">
        <v>0</v>
      </c>
      <c r="D864" s="91">
        <v>0</v>
      </c>
      <c r="E864" s="92">
        <v>0</v>
      </c>
      <c r="F864" s="92">
        <v>0</v>
      </c>
      <c r="G864" s="92">
        <v>0</v>
      </c>
      <c r="H864" s="91">
        <v>0</v>
      </c>
      <c r="I864" s="91">
        <v>0</v>
      </c>
      <c r="J864" s="93">
        <v>0</v>
      </c>
      <c r="K864" s="93">
        <v>0</v>
      </c>
      <c r="L864" s="93">
        <v>0</v>
      </c>
      <c r="M864" s="93">
        <v>0</v>
      </c>
      <c r="N864" s="94">
        <v>0</v>
      </c>
      <c r="O864" s="94">
        <v>0</v>
      </c>
      <c r="P864" s="93">
        <v>0</v>
      </c>
      <c r="Q864" s="92">
        <v>0</v>
      </c>
    </row>
    <row r="865" spans="2:17" x14ac:dyDescent="0.25">
      <c r="B865" s="92">
        <v>0</v>
      </c>
      <c r="C865" s="90">
        <v>0</v>
      </c>
      <c r="D865" s="91">
        <v>0</v>
      </c>
      <c r="E865" s="92">
        <v>0</v>
      </c>
      <c r="F865" s="92">
        <v>0</v>
      </c>
      <c r="G865" s="92">
        <v>0</v>
      </c>
      <c r="H865" s="91">
        <v>0</v>
      </c>
      <c r="I865" s="91">
        <v>0</v>
      </c>
      <c r="J865" s="93">
        <v>0</v>
      </c>
      <c r="K865" s="93">
        <v>0</v>
      </c>
      <c r="L865" s="93">
        <v>0</v>
      </c>
      <c r="M865" s="93">
        <v>0</v>
      </c>
      <c r="N865" s="94">
        <v>0</v>
      </c>
      <c r="O865" s="94">
        <v>0</v>
      </c>
      <c r="P865" s="93">
        <v>0</v>
      </c>
      <c r="Q865" s="92">
        <v>0</v>
      </c>
    </row>
    <row r="866" spans="2:17" x14ac:dyDescent="0.25">
      <c r="B866" s="92">
        <v>0</v>
      </c>
      <c r="C866" s="90">
        <v>0</v>
      </c>
      <c r="D866" s="91">
        <v>0</v>
      </c>
      <c r="E866" s="92">
        <v>0</v>
      </c>
      <c r="F866" s="92">
        <v>0</v>
      </c>
      <c r="G866" s="92">
        <v>0</v>
      </c>
      <c r="H866" s="91">
        <v>0</v>
      </c>
      <c r="I866" s="91">
        <v>0</v>
      </c>
      <c r="J866" s="93">
        <v>0</v>
      </c>
      <c r="K866" s="93">
        <v>0</v>
      </c>
      <c r="L866" s="93">
        <v>0</v>
      </c>
      <c r="M866" s="93">
        <v>0</v>
      </c>
      <c r="N866" s="94">
        <v>0</v>
      </c>
      <c r="O866" s="94">
        <v>0</v>
      </c>
      <c r="P866" s="93">
        <v>0</v>
      </c>
      <c r="Q866" s="92">
        <v>0</v>
      </c>
    </row>
    <row r="867" spans="2:17" x14ac:dyDescent="0.25">
      <c r="B867" s="92">
        <v>0</v>
      </c>
      <c r="C867" s="90">
        <v>0</v>
      </c>
      <c r="D867" s="91">
        <v>0</v>
      </c>
      <c r="E867" s="92">
        <v>0</v>
      </c>
      <c r="F867" s="92">
        <v>0</v>
      </c>
      <c r="G867" s="92">
        <v>0</v>
      </c>
      <c r="H867" s="91">
        <v>0</v>
      </c>
      <c r="I867" s="91">
        <v>0</v>
      </c>
      <c r="J867" s="93">
        <v>0</v>
      </c>
      <c r="K867" s="93">
        <v>0</v>
      </c>
      <c r="L867" s="93">
        <v>0</v>
      </c>
      <c r="M867" s="93">
        <v>0</v>
      </c>
      <c r="N867" s="94">
        <v>0</v>
      </c>
      <c r="O867" s="94">
        <v>0</v>
      </c>
      <c r="P867" s="93">
        <v>0</v>
      </c>
      <c r="Q867" s="92">
        <v>0</v>
      </c>
    </row>
    <row r="868" spans="2:17" x14ac:dyDescent="0.25">
      <c r="B868" s="92">
        <v>0</v>
      </c>
      <c r="C868" s="90">
        <v>0</v>
      </c>
      <c r="D868" s="91">
        <v>0</v>
      </c>
      <c r="E868" s="92">
        <v>0</v>
      </c>
      <c r="F868" s="92">
        <v>0</v>
      </c>
      <c r="G868" s="92">
        <v>0</v>
      </c>
      <c r="H868" s="91">
        <v>0</v>
      </c>
      <c r="I868" s="91">
        <v>0</v>
      </c>
      <c r="J868" s="93">
        <v>0</v>
      </c>
      <c r="K868" s="93">
        <v>0</v>
      </c>
      <c r="L868" s="93">
        <v>0</v>
      </c>
      <c r="M868" s="93">
        <v>0</v>
      </c>
      <c r="N868" s="94">
        <v>0</v>
      </c>
      <c r="O868" s="94">
        <v>0</v>
      </c>
      <c r="P868" s="93">
        <v>0</v>
      </c>
      <c r="Q868" s="92">
        <v>0</v>
      </c>
    </row>
    <row r="869" spans="2:17" x14ac:dyDescent="0.25">
      <c r="B869" s="92">
        <v>0</v>
      </c>
      <c r="C869" s="90">
        <v>0</v>
      </c>
      <c r="D869" s="91">
        <v>0</v>
      </c>
      <c r="E869" s="92">
        <v>0</v>
      </c>
      <c r="F869" s="92">
        <v>0</v>
      </c>
      <c r="G869" s="92">
        <v>0</v>
      </c>
      <c r="H869" s="91">
        <v>0</v>
      </c>
      <c r="I869" s="91">
        <v>0</v>
      </c>
      <c r="J869" s="93">
        <v>0</v>
      </c>
      <c r="K869" s="93">
        <v>0</v>
      </c>
      <c r="L869" s="93">
        <v>0</v>
      </c>
      <c r="M869" s="93">
        <v>0</v>
      </c>
      <c r="N869" s="94">
        <v>0</v>
      </c>
      <c r="O869" s="94">
        <v>0</v>
      </c>
      <c r="P869" s="93">
        <v>0</v>
      </c>
      <c r="Q869" s="92">
        <v>0</v>
      </c>
    </row>
    <row r="870" spans="2:17" x14ac:dyDescent="0.25">
      <c r="B870" s="92">
        <v>0</v>
      </c>
      <c r="C870" s="90">
        <v>0</v>
      </c>
      <c r="D870" s="91">
        <v>0</v>
      </c>
      <c r="E870" s="92">
        <v>0</v>
      </c>
      <c r="F870" s="92">
        <v>0</v>
      </c>
      <c r="G870" s="92">
        <v>0</v>
      </c>
      <c r="H870" s="91">
        <v>0</v>
      </c>
      <c r="I870" s="91">
        <v>0</v>
      </c>
      <c r="J870" s="93">
        <v>0</v>
      </c>
      <c r="K870" s="93">
        <v>0</v>
      </c>
      <c r="L870" s="93">
        <v>0</v>
      </c>
      <c r="M870" s="93">
        <v>0</v>
      </c>
      <c r="N870" s="94">
        <v>0</v>
      </c>
      <c r="O870" s="94">
        <v>0</v>
      </c>
      <c r="P870" s="93">
        <v>0</v>
      </c>
      <c r="Q870" s="92">
        <v>0</v>
      </c>
    </row>
    <row r="871" spans="2:17" x14ac:dyDescent="0.25">
      <c r="B871" s="92">
        <v>0</v>
      </c>
      <c r="C871" s="90">
        <v>0</v>
      </c>
      <c r="D871" s="91">
        <v>0</v>
      </c>
      <c r="E871" s="92">
        <v>0</v>
      </c>
      <c r="F871" s="92">
        <v>0</v>
      </c>
      <c r="G871" s="92">
        <v>0</v>
      </c>
      <c r="H871" s="91">
        <v>0</v>
      </c>
      <c r="I871" s="91">
        <v>0</v>
      </c>
      <c r="J871" s="93">
        <v>0</v>
      </c>
      <c r="K871" s="93">
        <v>0</v>
      </c>
      <c r="L871" s="93">
        <v>0</v>
      </c>
      <c r="M871" s="93">
        <v>0</v>
      </c>
      <c r="N871" s="94">
        <v>0</v>
      </c>
      <c r="O871" s="94">
        <v>0</v>
      </c>
      <c r="P871" s="93">
        <v>0</v>
      </c>
      <c r="Q871" s="92">
        <v>0</v>
      </c>
    </row>
    <row r="872" spans="2:17" x14ac:dyDescent="0.25">
      <c r="B872" s="92">
        <v>0</v>
      </c>
      <c r="C872" s="90">
        <v>0</v>
      </c>
      <c r="D872" s="91">
        <v>0</v>
      </c>
      <c r="E872" s="92">
        <v>0</v>
      </c>
      <c r="F872" s="92">
        <v>0</v>
      </c>
      <c r="G872" s="92">
        <v>0</v>
      </c>
      <c r="H872" s="91">
        <v>0</v>
      </c>
      <c r="I872" s="91">
        <v>0</v>
      </c>
      <c r="J872" s="93">
        <v>0</v>
      </c>
      <c r="K872" s="93">
        <v>0</v>
      </c>
      <c r="L872" s="93">
        <v>0</v>
      </c>
      <c r="M872" s="93">
        <v>0</v>
      </c>
      <c r="N872" s="94">
        <v>0</v>
      </c>
      <c r="O872" s="94">
        <v>0</v>
      </c>
      <c r="P872" s="93">
        <v>0</v>
      </c>
      <c r="Q872" s="92">
        <v>0</v>
      </c>
    </row>
    <row r="873" spans="2:17" x14ac:dyDescent="0.25">
      <c r="B873" s="92">
        <v>0</v>
      </c>
      <c r="C873" s="90">
        <v>0</v>
      </c>
      <c r="D873" s="91">
        <v>0</v>
      </c>
      <c r="E873" s="92">
        <v>0</v>
      </c>
      <c r="F873" s="92">
        <v>0</v>
      </c>
      <c r="G873" s="92">
        <v>0</v>
      </c>
      <c r="H873" s="91">
        <v>0</v>
      </c>
      <c r="I873" s="91">
        <v>0</v>
      </c>
      <c r="J873" s="93">
        <v>0</v>
      </c>
      <c r="K873" s="93">
        <v>0</v>
      </c>
      <c r="L873" s="93">
        <v>0</v>
      </c>
      <c r="M873" s="93">
        <v>0</v>
      </c>
      <c r="N873" s="94">
        <v>0</v>
      </c>
      <c r="O873" s="94">
        <v>0</v>
      </c>
      <c r="P873" s="93">
        <v>0</v>
      </c>
      <c r="Q873" s="92">
        <v>0</v>
      </c>
    </row>
    <row r="874" spans="2:17" x14ac:dyDescent="0.25">
      <c r="B874" s="92">
        <v>0</v>
      </c>
      <c r="C874" s="90">
        <v>0</v>
      </c>
      <c r="D874" s="91">
        <v>0</v>
      </c>
      <c r="E874" s="92">
        <v>0</v>
      </c>
      <c r="F874" s="92">
        <v>0</v>
      </c>
      <c r="G874" s="92">
        <v>0</v>
      </c>
      <c r="H874" s="91">
        <v>0</v>
      </c>
      <c r="I874" s="91">
        <v>0</v>
      </c>
      <c r="J874" s="93">
        <v>0</v>
      </c>
      <c r="K874" s="93">
        <v>0</v>
      </c>
      <c r="L874" s="93">
        <v>0</v>
      </c>
      <c r="M874" s="93">
        <v>0</v>
      </c>
      <c r="N874" s="94">
        <v>0</v>
      </c>
      <c r="O874" s="94">
        <v>0</v>
      </c>
      <c r="P874" s="93">
        <v>0</v>
      </c>
      <c r="Q874" s="92">
        <v>0</v>
      </c>
    </row>
    <row r="875" spans="2:17" x14ac:dyDescent="0.25">
      <c r="B875" s="92">
        <v>0</v>
      </c>
      <c r="C875" s="90">
        <v>0</v>
      </c>
      <c r="D875" s="91">
        <v>0</v>
      </c>
      <c r="E875" s="92">
        <v>0</v>
      </c>
      <c r="F875" s="92">
        <v>0</v>
      </c>
      <c r="G875" s="92">
        <v>0</v>
      </c>
      <c r="H875" s="91">
        <v>0</v>
      </c>
      <c r="I875" s="91">
        <v>0</v>
      </c>
      <c r="J875" s="93">
        <v>0</v>
      </c>
      <c r="K875" s="93">
        <v>0</v>
      </c>
      <c r="L875" s="93">
        <v>0</v>
      </c>
      <c r="M875" s="93">
        <v>0</v>
      </c>
      <c r="N875" s="94">
        <v>0</v>
      </c>
      <c r="O875" s="94">
        <v>0</v>
      </c>
      <c r="P875" s="93">
        <v>0</v>
      </c>
      <c r="Q875" s="92">
        <v>0</v>
      </c>
    </row>
    <row r="876" spans="2:17" x14ac:dyDescent="0.25">
      <c r="B876" s="92">
        <v>0</v>
      </c>
      <c r="C876" s="90">
        <v>0</v>
      </c>
      <c r="D876" s="91">
        <v>0</v>
      </c>
      <c r="E876" s="92">
        <v>0</v>
      </c>
      <c r="F876" s="92">
        <v>0</v>
      </c>
      <c r="G876" s="92">
        <v>0</v>
      </c>
      <c r="H876" s="91">
        <v>0</v>
      </c>
      <c r="I876" s="91">
        <v>0</v>
      </c>
      <c r="J876" s="93">
        <v>0</v>
      </c>
      <c r="K876" s="93">
        <v>0</v>
      </c>
      <c r="L876" s="93">
        <v>0</v>
      </c>
      <c r="M876" s="93">
        <v>0</v>
      </c>
      <c r="N876" s="94">
        <v>0</v>
      </c>
      <c r="O876" s="94">
        <v>0</v>
      </c>
      <c r="P876" s="93">
        <v>0</v>
      </c>
      <c r="Q876" s="92">
        <v>0</v>
      </c>
    </row>
    <row r="877" spans="2:17" x14ac:dyDescent="0.25">
      <c r="B877" s="92">
        <v>0</v>
      </c>
      <c r="C877" s="90">
        <v>0</v>
      </c>
      <c r="D877" s="91">
        <v>0</v>
      </c>
      <c r="E877" s="92">
        <v>0</v>
      </c>
      <c r="F877" s="92">
        <v>0</v>
      </c>
      <c r="G877" s="92">
        <v>0</v>
      </c>
      <c r="H877" s="91">
        <v>0</v>
      </c>
      <c r="I877" s="91">
        <v>0</v>
      </c>
      <c r="J877" s="93">
        <v>0</v>
      </c>
      <c r="K877" s="93">
        <v>0</v>
      </c>
      <c r="L877" s="93">
        <v>0</v>
      </c>
      <c r="M877" s="93">
        <v>0</v>
      </c>
      <c r="N877" s="94">
        <v>0</v>
      </c>
      <c r="O877" s="94">
        <v>0</v>
      </c>
      <c r="P877" s="93">
        <v>0</v>
      </c>
      <c r="Q877" s="92">
        <v>0</v>
      </c>
    </row>
    <row r="878" spans="2:17" x14ac:dyDescent="0.25">
      <c r="B878" s="92">
        <v>0</v>
      </c>
      <c r="C878" s="90">
        <v>0</v>
      </c>
      <c r="D878" s="91">
        <v>0</v>
      </c>
      <c r="E878" s="92">
        <v>0</v>
      </c>
      <c r="F878" s="92">
        <v>0</v>
      </c>
      <c r="G878" s="92">
        <v>0</v>
      </c>
      <c r="H878" s="91">
        <v>0</v>
      </c>
      <c r="I878" s="91">
        <v>0</v>
      </c>
      <c r="J878" s="93">
        <v>0</v>
      </c>
      <c r="K878" s="93">
        <v>0</v>
      </c>
      <c r="L878" s="93">
        <v>0</v>
      </c>
      <c r="M878" s="93">
        <v>0</v>
      </c>
      <c r="N878" s="94">
        <v>0</v>
      </c>
      <c r="O878" s="94">
        <v>0</v>
      </c>
      <c r="P878" s="93">
        <v>0</v>
      </c>
      <c r="Q878" s="92">
        <v>0</v>
      </c>
    </row>
    <row r="879" spans="2:17" x14ac:dyDescent="0.25">
      <c r="B879" s="92">
        <v>0</v>
      </c>
      <c r="C879" s="90">
        <v>0</v>
      </c>
      <c r="D879" s="91">
        <v>0</v>
      </c>
      <c r="E879" s="92">
        <v>0</v>
      </c>
      <c r="F879" s="92">
        <v>0</v>
      </c>
      <c r="G879" s="92">
        <v>0</v>
      </c>
      <c r="H879" s="91">
        <v>0</v>
      </c>
      <c r="I879" s="91">
        <v>0</v>
      </c>
      <c r="J879" s="93">
        <v>0</v>
      </c>
      <c r="K879" s="93">
        <v>0</v>
      </c>
      <c r="L879" s="93">
        <v>0</v>
      </c>
      <c r="M879" s="93">
        <v>0</v>
      </c>
      <c r="N879" s="94">
        <v>0</v>
      </c>
      <c r="O879" s="94">
        <v>0</v>
      </c>
      <c r="P879" s="93">
        <v>0</v>
      </c>
      <c r="Q879" s="92">
        <v>0</v>
      </c>
    </row>
    <row r="880" spans="2:17" x14ac:dyDescent="0.25">
      <c r="B880" s="92">
        <v>0</v>
      </c>
      <c r="C880" s="90">
        <v>0</v>
      </c>
      <c r="D880" s="91">
        <v>0</v>
      </c>
      <c r="E880" s="92">
        <v>0</v>
      </c>
      <c r="F880" s="92">
        <v>0</v>
      </c>
      <c r="G880" s="92">
        <v>0</v>
      </c>
      <c r="H880" s="91">
        <v>0</v>
      </c>
      <c r="I880" s="91">
        <v>0</v>
      </c>
      <c r="J880" s="93">
        <v>0</v>
      </c>
      <c r="K880" s="93">
        <v>0</v>
      </c>
      <c r="L880" s="93">
        <v>0</v>
      </c>
      <c r="M880" s="93">
        <v>0</v>
      </c>
      <c r="N880" s="94">
        <v>0</v>
      </c>
      <c r="O880" s="94">
        <v>0</v>
      </c>
      <c r="P880" s="93">
        <v>0</v>
      </c>
      <c r="Q880" s="92">
        <v>0</v>
      </c>
    </row>
    <row r="881" spans="2:17" x14ac:dyDescent="0.25">
      <c r="B881" s="92">
        <v>0</v>
      </c>
      <c r="C881" s="90">
        <v>0</v>
      </c>
      <c r="D881" s="91">
        <v>0</v>
      </c>
      <c r="E881" s="92">
        <v>0</v>
      </c>
      <c r="F881" s="92">
        <v>0</v>
      </c>
      <c r="G881" s="92">
        <v>0</v>
      </c>
      <c r="H881" s="91">
        <v>0</v>
      </c>
      <c r="I881" s="91">
        <v>0</v>
      </c>
      <c r="J881" s="93">
        <v>0</v>
      </c>
      <c r="K881" s="93">
        <v>0</v>
      </c>
      <c r="L881" s="93">
        <v>0</v>
      </c>
      <c r="M881" s="93">
        <v>0</v>
      </c>
      <c r="N881" s="94">
        <v>0</v>
      </c>
      <c r="O881" s="94">
        <v>0</v>
      </c>
      <c r="P881" s="93">
        <v>0</v>
      </c>
      <c r="Q881" s="92">
        <v>0</v>
      </c>
    </row>
    <row r="882" spans="2:17" x14ac:dyDescent="0.25">
      <c r="B882" s="92">
        <v>0</v>
      </c>
      <c r="C882" s="90">
        <v>0</v>
      </c>
      <c r="D882" s="91">
        <v>0</v>
      </c>
      <c r="E882" s="92">
        <v>0</v>
      </c>
      <c r="F882" s="92">
        <v>0</v>
      </c>
      <c r="G882" s="92">
        <v>0</v>
      </c>
      <c r="H882" s="91">
        <v>0</v>
      </c>
      <c r="I882" s="91">
        <v>0</v>
      </c>
      <c r="J882" s="93">
        <v>0</v>
      </c>
      <c r="K882" s="93">
        <v>0</v>
      </c>
      <c r="L882" s="93">
        <v>0</v>
      </c>
      <c r="M882" s="93">
        <v>0</v>
      </c>
      <c r="N882" s="94">
        <v>0</v>
      </c>
      <c r="O882" s="94">
        <v>0</v>
      </c>
      <c r="P882" s="93">
        <v>0</v>
      </c>
      <c r="Q882" s="92">
        <v>0</v>
      </c>
    </row>
    <row r="883" spans="2:17" x14ac:dyDescent="0.25">
      <c r="B883" s="92">
        <v>0</v>
      </c>
      <c r="C883" s="90">
        <v>0</v>
      </c>
      <c r="D883" s="91">
        <v>0</v>
      </c>
      <c r="E883" s="92">
        <v>0</v>
      </c>
      <c r="F883" s="92">
        <v>0</v>
      </c>
      <c r="G883" s="92">
        <v>0</v>
      </c>
      <c r="H883" s="91">
        <v>0</v>
      </c>
      <c r="I883" s="91">
        <v>0</v>
      </c>
      <c r="J883" s="93">
        <v>0</v>
      </c>
      <c r="K883" s="93">
        <v>0</v>
      </c>
      <c r="L883" s="93">
        <v>0</v>
      </c>
      <c r="M883" s="93">
        <v>0</v>
      </c>
      <c r="N883" s="94">
        <v>0</v>
      </c>
      <c r="O883" s="94">
        <v>0</v>
      </c>
      <c r="P883" s="93">
        <v>0</v>
      </c>
      <c r="Q883" s="92">
        <v>0</v>
      </c>
    </row>
    <row r="884" spans="2:17" x14ac:dyDescent="0.25">
      <c r="B884" s="92">
        <v>0</v>
      </c>
      <c r="C884" s="90">
        <v>0</v>
      </c>
      <c r="D884" s="91">
        <v>0</v>
      </c>
      <c r="E884" s="92">
        <v>0</v>
      </c>
      <c r="F884" s="92">
        <v>0</v>
      </c>
      <c r="G884" s="92">
        <v>0</v>
      </c>
      <c r="H884" s="91">
        <v>0</v>
      </c>
      <c r="I884" s="91">
        <v>0</v>
      </c>
      <c r="J884" s="93">
        <v>0</v>
      </c>
      <c r="K884" s="93">
        <v>0</v>
      </c>
      <c r="L884" s="93">
        <v>0</v>
      </c>
      <c r="M884" s="93">
        <v>0</v>
      </c>
      <c r="N884" s="94">
        <v>0</v>
      </c>
      <c r="O884" s="94">
        <v>0</v>
      </c>
      <c r="P884" s="93">
        <v>0</v>
      </c>
      <c r="Q884" s="92">
        <v>0</v>
      </c>
    </row>
    <row r="885" spans="2:17" x14ac:dyDescent="0.25">
      <c r="B885" s="111">
        <v>0</v>
      </c>
      <c r="C885" s="111">
        <v>0</v>
      </c>
      <c r="D885" s="21">
        <v>0</v>
      </c>
      <c r="E885" s="112">
        <v>0</v>
      </c>
      <c r="F885" s="111">
        <v>0</v>
      </c>
      <c r="G885" s="111">
        <v>0</v>
      </c>
      <c r="H885" s="21">
        <v>0</v>
      </c>
      <c r="I885" s="21">
        <v>0</v>
      </c>
      <c r="J885" s="113">
        <v>0</v>
      </c>
      <c r="K885" s="113">
        <v>0</v>
      </c>
      <c r="L885" s="113">
        <v>0</v>
      </c>
      <c r="M885" s="113">
        <v>0</v>
      </c>
      <c r="N885" s="114">
        <v>0</v>
      </c>
      <c r="O885" s="114">
        <v>0</v>
      </c>
      <c r="P885" s="115">
        <v>0</v>
      </c>
      <c r="Q885" s="112">
        <v>0</v>
      </c>
    </row>
    <row r="886" spans="2:17" x14ac:dyDescent="0.25">
      <c r="B886" s="111">
        <v>0</v>
      </c>
      <c r="C886" s="111">
        <v>0</v>
      </c>
      <c r="D886" s="21">
        <v>0</v>
      </c>
      <c r="E886" s="112">
        <v>0</v>
      </c>
      <c r="F886" s="111">
        <v>0</v>
      </c>
      <c r="G886" s="111">
        <v>0</v>
      </c>
      <c r="H886" s="21">
        <v>0</v>
      </c>
      <c r="I886" s="21">
        <v>0</v>
      </c>
      <c r="J886" s="113">
        <v>0</v>
      </c>
      <c r="K886" s="113">
        <v>0</v>
      </c>
      <c r="L886" s="113">
        <v>0</v>
      </c>
      <c r="M886" s="113">
        <v>0</v>
      </c>
      <c r="N886" s="114">
        <v>0</v>
      </c>
      <c r="O886" s="114">
        <v>0</v>
      </c>
      <c r="P886" s="115">
        <v>0</v>
      </c>
      <c r="Q886" s="112">
        <v>0</v>
      </c>
    </row>
    <row r="887" spans="2:17" x14ac:dyDescent="0.25">
      <c r="B887" s="111">
        <v>0</v>
      </c>
      <c r="C887" s="111">
        <v>0</v>
      </c>
      <c r="D887" s="21">
        <v>0</v>
      </c>
      <c r="E887" s="112">
        <v>0</v>
      </c>
      <c r="F887" s="111">
        <v>0</v>
      </c>
      <c r="G887" s="111">
        <v>0</v>
      </c>
      <c r="H887" s="21">
        <v>0</v>
      </c>
      <c r="I887" s="21">
        <v>0</v>
      </c>
      <c r="J887" s="113">
        <v>0</v>
      </c>
      <c r="K887" s="113">
        <v>0</v>
      </c>
      <c r="L887" s="113">
        <v>0</v>
      </c>
      <c r="M887" s="113">
        <v>0</v>
      </c>
      <c r="N887" s="114">
        <v>0</v>
      </c>
      <c r="O887" s="114">
        <v>0</v>
      </c>
      <c r="P887" s="115">
        <v>0</v>
      </c>
      <c r="Q887" s="112">
        <v>0</v>
      </c>
    </row>
    <row r="888" spans="2:17" x14ac:dyDescent="0.25">
      <c r="B888" s="111">
        <v>0</v>
      </c>
      <c r="C888" s="111">
        <v>0</v>
      </c>
      <c r="D888" s="21">
        <v>0</v>
      </c>
      <c r="E888" s="112">
        <v>0</v>
      </c>
      <c r="F888" s="111">
        <v>0</v>
      </c>
      <c r="G888" s="111">
        <v>0</v>
      </c>
      <c r="H888" s="21">
        <v>0</v>
      </c>
      <c r="I888" s="21">
        <v>0</v>
      </c>
      <c r="J888" s="113">
        <v>0</v>
      </c>
      <c r="K888" s="113">
        <v>0</v>
      </c>
      <c r="L888" s="113">
        <v>0</v>
      </c>
      <c r="M888" s="113">
        <v>0</v>
      </c>
      <c r="N888" s="114">
        <v>0</v>
      </c>
      <c r="O888" s="114">
        <v>0</v>
      </c>
      <c r="P888" s="115">
        <v>0</v>
      </c>
      <c r="Q888" s="112">
        <v>0</v>
      </c>
    </row>
    <row r="889" spans="2:17" x14ac:dyDescent="0.25">
      <c r="B889" s="111">
        <v>0</v>
      </c>
      <c r="C889" s="111">
        <v>0</v>
      </c>
      <c r="D889" s="21">
        <v>0</v>
      </c>
      <c r="E889" s="112">
        <v>0</v>
      </c>
      <c r="F889" s="111">
        <v>0</v>
      </c>
      <c r="G889" s="111">
        <v>0</v>
      </c>
      <c r="H889" s="21">
        <v>0</v>
      </c>
      <c r="I889" s="21">
        <v>0</v>
      </c>
      <c r="J889" s="113">
        <v>0</v>
      </c>
      <c r="K889" s="113">
        <v>0</v>
      </c>
      <c r="L889" s="113">
        <v>0</v>
      </c>
      <c r="M889" s="113">
        <v>0</v>
      </c>
      <c r="N889" s="114">
        <v>0</v>
      </c>
      <c r="O889" s="114">
        <v>0</v>
      </c>
      <c r="P889" s="115">
        <v>0</v>
      </c>
      <c r="Q889" s="112">
        <v>0</v>
      </c>
    </row>
    <row r="890" spans="2:17" x14ac:dyDescent="0.25">
      <c r="B890" s="111">
        <v>0</v>
      </c>
      <c r="C890" s="111">
        <v>0</v>
      </c>
      <c r="D890" s="21">
        <v>0</v>
      </c>
      <c r="E890" s="112">
        <v>0</v>
      </c>
      <c r="F890" s="111">
        <v>0</v>
      </c>
      <c r="G890" s="111">
        <v>0</v>
      </c>
      <c r="H890" s="21">
        <v>0</v>
      </c>
      <c r="I890" s="21">
        <v>0</v>
      </c>
      <c r="J890" s="113">
        <v>0</v>
      </c>
      <c r="K890" s="113">
        <v>0</v>
      </c>
      <c r="L890" s="113">
        <v>0</v>
      </c>
      <c r="M890" s="113">
        <v>0</v>
      </c>
      <c r="N890" s="114">
        <v>0</v>
      </c>
      <c r="O890" s="114">
        <v>0</v>
      </c>
      <c r="P890" s="115">
        <v>0</v>
      </c>
      <c r="Q890" s="112">
        <v>0</v>
      </c>
    </row>
    <row r="891" spans="2:17" x14ac:dyDescent="0.25">
      <c r="B891" s="111">
        <v>0</v>
      </c>
      <c r="C891" s="111">
        <v>0</v>
      </c>
      <c r="D891" s="21">
        <v>0</v>
      </c>
      <c r="E891" s="112">
        <v>0</v>
      </c>
      <c r="F891" s="111">
        <v>0</v>
      </c>
      <c r="G891" s="111">
        <v>0</v>
      </c>
      <c r="H891" s="21">
        <v>0</v>
      </c>
      <c r="I891" s="21">
        <v>0</v>
      </c>
      <c r="J891" s="113">
        <v>0</v>
      </c>
      <c r="K891" s="113">
        <v>0</v>
      </c>
      <c r="L891" s="113">
        <v>0</v>
      </c>
      <c r="M891" s="113">
        <v>0</v>
      </c>
      <c r="N891" s="114">
        <v>0</v>
      </c>
      <c r="O891" s="114">
        <v>0</v>
      </c>
      <c r="P891" s="115">
        <v>0</v>
      </c>
      <c r="Q891" s="112">
        <v>0</v>
      </c>
    </row>
    <row r="892" spans="2:17" x14ac:dyDescent="0.25">
      <c r="B892" s="111">
        <v>0</v>
      </c>
      <c r="C892" s="111">
        <v>0</v>
      </c>
      <c r="D892" s="21">
        <v>0</v>
      </c>
      <c r="E892" s="112">
        <v>0</v>
      </c>
      <c r="F892" s="111">
        <v>0</v>
      </c>
      <c r="G892" s="111">
        <v>0</v>
      </c>
      <c r="H892" s="21">
        <v>0</v>
      </c>
      <c r="I892" s="21">
        <v>0</v>
      </c>
      <c r="J892" s="113">
        <v>0</v>
      </c>
      <c r="K892" s="113">
        <v>0</v>
      </c>
      <c r="L892" s="113">
        <v>0</v>
      </c>
      <c r="M892" s="113">
        <v>0</v>
      </c>
      <c r="N892" s="114">
        <v>0</v>
      </c>
      <c r="O892" s="114">
        <v>0</v>
      </c>
      <c r="P892" s="115">
        <v>0</v>
      </c>
      <c r="Q892" s="112">
        <v>0</v>
      </c>
    </row>
    <row r="893" spans="2:17" x14ac:dyDescent="0.25">
      <c r="B893" s="111">
        <v>0</v>
      </c>
      <c r="C893" s="111">
        <v>0</v>
      </c>
      <c r="D893" s="21">
        <v>0</v>
      </c>
      <c r="E893" s="112">
        <v>0</v>
      </c>
      <c r="F893" s="111">
        <v>0</v>
      </c>
      <c r="G893" s="111">
        <v>0</v>
      </c>
      <c r="H893" s="21">
        <v>0</v>
      </c>
      <c r="I893" s="21">
        <v>0</v>
      </c>
      <c r="J893" s="113">
        <v>0</v>
      </c>
      <c r="K893" s="113">
        <v>0</v>
      </c>
      <c r="L893" s="113">
        <v>0</v>
      </c>
      <c r="M893" s="113">
        <v>0</v>
      </c>
      <c r="N893" s="114">
        <v>0</v>
      </c>
      <c r="O893" s="114">
        <v>0</v>
      </c>
      <c r="P893" s="115">
        <v>0</v>
      </c>
      <c r="Q893" s="112">
        <v>0</v>
      </c>
    </row>
    <row r="894" spans="2:17" x14ac:dyDescent="0.25">
      <c r="B894" s="111">
        <v>0</v>
      </c>
      <c r="C894" s="111">
        <v>0</v>
      </c>
      <c r="D894" s="21">
        <v>0</v>
      </c>
      <c r="E894" s="112">
        <v>0</v>
      </c>
      <c r="F894" s="111">
        <v>0</v>
      </c>
      <c r="G894" s="111">
        <v>0</v>
      </c>
      <c r="H894" s="21">
        <v>0</v>
      </c>
      <c r="I894" s="21">
        <v>0</v>
      </c>
      <c r="J894" s="113">
        <v>0</v>
      </c>
      <c r="K894" s="113">
        <v>0</v>
      </c>
      <c r="L894" s="113">
        <v>0</v>
      </c>
      <c r="M894" s="113">
        <v>0</v>
      </c>
      <c r="N894" s="114">
        <v>0</v>
      </c>
      <c r="O894" s="114">
        <v>0</v>
      </c>
      <c r="P894" s="115">
        <v>0</v>
      </c>
      <c r="Q894" s="112">
        <v>0</v>
      </c>
    </row>
    <row r="895" spans="2:17" x14ac:dyDescent="0.25">
      <c r="B895" s="111">
        <v>0</v>
      </c>
      <c r="C895" s="111">
        <v>0</v>
      </c>
      <c r="D895" s="21">
        <v>0</v>
      </c>
      <c r="E895" s="112">
        <v>0</v>
      </c>
      <c r="F895" s="111">
        <v>0</v>
      </c>
      <c r="G895" s="111">
        <v>0</v>
      </c>
      <c r="H895" s="21">
        <v>0</v>
      </c>
      <c r="I895" s="21">
        <v>0</v>
      </c>
      <c r="J895" s="113">
        <v>0</v>
      </c>
      <c r="K895" s="113">
        <v>0</v>
      </c>
      <c r="L895" s="113">
        <v>0</v>
      </c>
      <c r="M895" s="113">
        <v>0</v>
      </c>
      <c r="N895" s="114">
        <v>0</v>
      </c>
      <c r="O895" s="114">
        <v>0</v>
      </c>
      <c r="P895" s="115">
        <v>0</v>
      </c>
      <c r="Q895" s="112">
        <v>0</v>
      </c>
    </row>
    <row r="896" spans="2:17" x14ac:dyDescent="0.25">
      <c r="B896" s="111">
        <v>0</v>
      </c>
      <c r="C896" s="111">
        <v>0</v>
      </c>
      <c r="D896" s="21">
        <v>0</v>
      </c>
      <c r="E896" s="112">
        <v>0</v>
      </c>
      <c r="F896" s="111">
        <v>0</v>
      </c>
      <c r="G896" s="111">
        <v>0</v>
      </c>
      <c r="H896" s="21">
        <v>0</v>
      </c>
      <c r="I896" s="21">
        <v>0</v>
      </c>
      <c r="J896" s="113">
        <v>0</v>
      </c>
      <c r="K896" s="113">
        <v>0</v>
      </c>
      <c r="L896" s="113">
        <v>0</v>
      </c>
      <c r="M896" s="113">
        <v>0</v>
      </c>
      <c r="N896" s="114">
        <v>0</v>
      </c>
      <c r="O896" s="114">
        <v>0</v>
      </c>
      <c r="P896" s="115">
        <v>0</v>
      </c>
      <c r="Q896" s="112">
        <v>0</v>
      </c>
    </row>
    <row r="897" spans="2:17" x14ac:dyDescent="0.25">
      <c r="B897" s="111">
        <v>0</v>
      </c>
      <c r="C897" s="111">
        <v>0</v>
      </c>
      <c r="D897" s="21">
        <v>0</v>
      </c>
      <c r="E897" s="112">
        <v>0</v>
      </c>
      <c r="F897" s="111">
        <v>0</v>
      </c>
      <c r="G897" s="111">
        <v>0</v>
      </c>
      <c r="H897" s="21">
        <v>0</v>
      </c>
      <c r="I897" s="21">
        <v>0</v>
      </c>
      <c r="J897" s="113">
        <v>0</v>
      </c>
      <c r="K897" s="113">
        <v>0</v>
      </c>
      <c r="L897" s="113">
        <v>0</v>
      </c>
      <c r="M897" s="113">
        <v>0</v>
      </c>
      <c r="N897" s="114">
        <v>0</v>
      </c>
      <c r="O897" s="114">
        <v>0</v>
      </c>
      <c r="P897" s="115">
        <v>0</v>
      </c>
      <c r="Q897" s="112">
        <v>0</v>
      </c>
    </row>
    <row r="898" spans="2:17" x14ac:dyDescent="0.25">
      <c r="B898" s="111">
        <v>0</v>
      </c>
      <c r="C898" s="111">
        <v>0</v>
      </c>
      <c r="D898" s="21">
        <v>0</v>
      </c>
      <c r="E898" s="112">
        <v>0</v>
      </c>
      <c r="F898" s="111">
        <v>0</v>
      </c>
      <c r="G898" s="111">
        <v>0</v>
      </c>
      <c r="H898" s="21">
        <v>0</v>
      </c>
      <c r="I898" s="21">
        <v>0</v>
      </c>
      <c r="J898" s="113">
        <v>0</v>
      </c>
      <c r="K898" s="113">
        <v>0</v>
      </c>
      <c r="L898" s="113">
        <v>0</v>
      </c>
      <c r="M898" s="113">
        <v>0</v>
      </c>
      <c r="N898" s="114">
        <v>0</v>
      </c>
      <c r="O898" s="114">
        <v>0</v>
      </c>
      <c r="P898" s="115">
        <v>0</v>
      </c>
      <c r="Q898" s="112">
        <v>0</v>
      </c>
    </row>
    <row r="899" spans="2:17" x14ac:dyDescent="0.25">
      <c r="B899" s="111">
        <v>0</v>
      </c>
      <c r="C899" s="111">
        <v>0</v>
      </c>
      <c r="D899" s="21">
        <v>0</v>
      </c>
      <c r="E899" s="112">
        <v>0</v>
      </c>
      <c r="F899" s="111">
        <v>0</v>
      </c>
      <c r="G899" s="111">
        <v>0</v>
      </c>
      <c r="H899" s="21">
        <v>0</v>
      </c>
      <c r="I899" s="21">
        <v>0</v>
      </c>
      <c r="J899" s="113">
        <v>0</v>
      </c>
      <c r="K899" s="113">
        <v>0</v>
      </c>
      <c r="L899" s="113">
        <v>0</v>
      </c>
      <c r="M899" s="113">
        <v>0</v>
      </c>
      <c r="N899" s="114">
        <v>0</v>
      </c>
      <c r="O899" s="114">
        <v>0</v>
      </c>
      <c r="P899" s="115">
        <v>0</v>
      </c>
      <c r="Q899" s="112">
        <v>0</v>
      </c>
    </row>
    <row r="900" spans="2:17" x14ac:dyDescent="0.25">
      <c r="B900" s="111">
        <v>0</v>
      </c>
      <c r="C900" s="111">
        <v>0</v>
      </c>
      <c r="D900" s="21">
        <v>0</v>
      </c>
      <c r="E900" s="112">
        <v>0</v>
      </c>
      <c r="F900" s="111">
        <v>0</v>
      </c>
      <c r="G900" s="111">
        <v>0</v>
      </c>
      <c r="H900" s="21">
        <v>0</v>
      </c>
      <c r="I900" s="21">
        <v>0</v>
      </c>
      <c r="J900" s="113">
        <v>0</v>
      </c>
      <c r="K900" s="113">
        <v>0</v>
      </c>
      <c r="L900" s="113">
        <v>0</v>
      </c>
      <c r="M900" s="113">
        <v>0</v>
      </c>
      <c r="N900" s="114">
        <v>0</v>
      </c>
      <c r="O900" s="114">
        <v>0</v>
      </c>
      <c r="P900" s="115">
        <v>0</v>
      </c>
      <c r="Q900" s="112">
        <v>0</v>
      </c>
    </row>
    <row r="901" spans="2:17" x14ac:dyDescent="0.25">
      <c r="B901" s="111">
        <v>0</v>
      </c>
      <c r="C901" s="111">
        <v>0</v>
      </c>
      <c r="D901" s="21">
        <v>0</v>
      </c>
      <c r="E901" s="112">
        <v>0</v>
      </c>
      <c r="F901" s="111">
        <v>0</v>
      </c>
      <c r="G901" s="111">
        <v>0</v>
      </c>
      <c r="H901" s="21">
        <v>0</v>
      </c>
      <c r="I901" s="21">
        <v>0</v>
      </c>
      <c r="J901" s="113">
        <v>0</v>
      </c>
      <c r="K901" s="113">
        <v>0</v>
      </c>
      <c r="L901" s="113">
        <v>0</v>
      </c>
      <c r="M901" s="113">
        <v>0</v>
      </c>
      <c r="N901" s="114">
        <v>0</v>
      </c>
      <c r="O901" s="114">
        <v>0</v>
      </c>
      <c r="P901" s="115">
        <v>0</v>
      </c>
      <c r="Q901" s="112">
        <v>0</v>
      </c>
    </row>
    <row r="902" spans="2:17" x14ac:dyDescent="0.25">
      <c r="B902" s="111">
        <v>0</v>
      </c>
      <c r="C902" s="111">
        <v>0</v>
      </c>
      <c r="D902" s="21">
        <v>0</v>
      </c>
      <c r="E902" s="112">
        <v>0</v>
      </c>
      <c r="F902" s="111">
        <v>0</v>
      </c>
      <c r="G902" s="111">
        <v>0</v>
      </c>
      <c r="H902" s="21">
        <v>0</v>
      </c>
      <c r="I902" s="21">
        <v>0</v>
      </c>
      <c r="J902" s="113">
        <v>0</v>
      </c>
      <c r="K902" s="113">
        <v>0</v>
      </c>
      <c r="L902" s="113">
        <v>0</v>
      </c>
      <c r="M902" s="113">
        <v>0</v>
      </c>
      <c r="N902" s="114">
        <v>0</v>
      </c>
      <c r="O902" s="114">
        <v>0</v>
      </c>
      <c r="P902" s="115">
        <v>0</v>
      </c>
      <c r="Q902" s="112">
        <v>0</v>
      </c>
    </row>
    <row r="903" spans="2:17" x14ac:dyDescent="0.25">
      <c r="B903" s="111">
        <v>0</v>
      </c>
      <c r="C903" s="111">
        <v>0</v>
      </c>
      <c r="D903" s="21">
        <v>0</v>
      </c>
      <c r="E903" s="112">
        <v>0</v>
      </c>
      <c r="F903" s="111">
        <v>0</v>
      </c>
      <c r="G903" s="111">
        <v>0</v>
      </c>
      <c r="H903" s="21">
        <v>0</v>
      </c>
      <c r="I903" s="21">
        <v>0</v>
      </c>
      <c r="J903" s="113">
        <v>0</v>
      </c>
      <c r="K903" s="113">
        <v>0</v>
      </c>
      <c r="L903" s="113">
        <v>0</v>
      </c>
      <c r="M903" s="113">
        <v>0</v>
      </c>
      <c r="N903" s="114">
        <v>0</v>
      </c>
      <c r="O903" s="114">
        <v>0</v>
      </c>
      <c r="P903" s="115">
        <v>0</v>
      </c>
      <c r="Q903" s="112">
        <v>0</v>
      </c>
    </row>
    <row r="904" spans="2:17" x14ac:dyDescent="0.25">
      <c r="B904" s="111">
        <v>0</v>
      </c>
      <c r="C904" s="111">
        <v>0</v>
      </c>
      <c r="D904" s="21">
        <v>0</v>
      </c>
      <c r="E904" s="112">
        <v>0</v>
      </c>
      <c r="F904" s="111">
        <v>0</v>
      </c>
      <c r="G904" s="111">
        <v>0</v>
      </c>
      <c r="H904" s="21">
        <v>0</v>
      </c>
      <c r="I904" s="21">
        <v>0</v>
      </c>
      <c r="J904" s="113">
        <v>0</v>
      </c>
      <c r="K904" s="113">
        <v>0</v>
      </c>
      <c r="L904" s="113">
        <v>0</v>
      </c>
      <c r="M904" s="113">
        <v>0</v>
      </c>
      <c r="N904" s="114">
        <v>0</v>
      </c>
      <c r="O904" s="114">
        <v>0</v>
      </c>
      <c r="P904" s="115">
        <v>0</v>
      </c>
      <c r="Q904" s="112">
        <v>0</v>
      </c>
    </row>
    <row r="905" spans="2:17" x14ac:dyDescent="0.25">
      <c r="B905" s="111">
        <v>0</v>
      </c>
      <c r="C905" s="111">
        <v>0</v>
      </c>
      <c r="D905" s="21">
        <v>0</v>
      </c>
      <c r="E905" s="112">
        <v>0</v>
      </c>
      <c r="F905" s="111">
        <v>0</v>
      </c>
      <c r="G905" s="111">
        <v>0</v>
      </c>
      <c r="H905" s="21">
        <v>0</v>
      </c>
      <c r="I905" s="21">
        <v>0</v>
      </c>
      <c r="J905" s="113">
        <v>0</v>
      </c>
      <c r="K905" s="113">
        <v>0</v>
      </c>
      <c r="L905" s="113">
        <v>0</v>
      </c>
      <c r="M905" s="113">
        <v>0</v>
      </c>
      <c r="N905" s="114">
        <v>0</v>
      </c>
      <c r="O905" s="114">
        <v>0</v>
      </c>
      <c r="P905" s="115">
        <v>0</v>
      </c>
      <c r="Q905" s="112">
        <v>0</v>
      </c>
    </row>
    <row r="906" spans="2:17" x14ac:dyDescent="0.25">
      <c r="B906" s="111">
        <v>0</v>
      </c>
      <c r="C906" s="111">
        <v>0</v>
      </c>
      <c r="D906" s="21">
        <v>0</v>
      </c>
      <c r="E906" s="112">
        <v>0</v>
      </c>
      <c r="F906" s="111">
        <v>0</v>
      </c>
      <c r="G906" s="111">
        <v>0</v>
      </c>
      <c r="H906" s="21">
        <v>0</v>
      </c>
      <c r="I906" s="21">
        <v>0</v>
      </c>
      <c r="J906" s="113">
        <v>0</v>
      </c>
      <c r="K906" s="113">
        <v>0</v>
      </c>
      <c r="L906" s="113">
        <v>0</v>
      </c>
      <c r="M906" s="113">
        <v>0</v>
      </c>
      <c r="N906" s="114">
        <v>0</v>
      </c>
      <c r="O906" s="114">
        <v>0</v>
      </c>
      <c r="P906" s="115">
        <v>0</v>
      </c>
      <c r="Q906" s="112">
        <v>0</v>
      </c>
    </row>
    <row r="907" spans="2:17" x14ac:dyDescent="0.25">
      <c r="B907" s="111">
        <v>0</v>
      </c>
      <c r="C907" s="111">
        <v>0</v>
      </c>
      <c r="D907" s="21">
        <v>0</v>
      </c>
      <c r="E907" s="112">
        <v>0</v>
      </c>
      <c r="F907" s="111">
        <v>0</v>
      </c>
      <c r="G907" s="111">
        <v>0</v>
      </c>
      <c r="H907" s="21">
        <v>0</v>
      </c>
      <c r="I907" s="21">
        <v>0</v>
      </c>
      <c r="J907" s="113">
        <v>0</v>
      </c>
      <c r="K907" s="113">
        <v>0</v>
      </c>
      <c r="L907" s="113">
        <v>0</v>
      </c>
      <c r="M907" s="113">
        <v>0</v>
      </c>
      <c r="N907" s="114">
        <v>0</v>
      </c>
      <c r="O907" s="114">
        <v>0</v>
      </c>
      <c r="P907" s="115">
        <v>0</v>
      </c>
      <c r="Q907" s="112">
        <v>0</v>
      </c>
    </row>
    <row r="908" spans="2:17" x14ac:dyDescent="0.25">
      <c r="B908" s="111">
        <v>0</v>
      </c>
      <c r="C908" s="111">
        <v>0</v>
      </c>
      <c r="D908" s="21">
        <v>0</v>
      </c>
      <c r="E908" s="112">
        <v>0</v>
      </c>
      <c r="F908" s="111">
        <v>0</v>
      </c>
      <c r="G908" s="111">
        <v>0</v>
      </c>
      <c r="H908" s="21">
        <v>0</v>
      </c>
      <c r="I908" s="21">
        <v>0</v>
      </c>
      <c r="J908" s="113">
        <v>0</v>
      </c>
      <c r="K908" s="113">
        <v>0</v>
      </c>
      <c r="L908" s="113">
        <v>0</v>
      </c>
      <c r="M908" s="113">
        <v>0</v>
      </c>
      <c r="N908" s="114">
        <v>0</v>
      </c>
      <c r="O908" s="114">
        <v>0</v>
      </c>
      <c r="P908" s="115">
        <v>0</v>
      </c>
      <c r="Q908" s="112">
        <v>0</v>
      </c>
    </row>
    <row r="909" spans="2:17" x14ac:dyDescent="0.25">
      <c r="B909" s="111">
        <v>0</v>
      </c>
      <c r="C909" s="111">
        <v>0</v>
      </c>
      <c r="D909" s="21">
        <v>0</v>
      </c>
      <c r="E909" s="112">
        <v>0</v>
      </c>
      <c r="F909" s="111">
        <v>0</v>
      </c>
      <c r="G909" s="111">
        <v>0</v>
      </c>
      <c r="H909" s="21">
        <v>0</v>
      </c>
      <c r="I909" s="21">
        <v>0</v>
      </c>
      <c r="J909" s="113">
        <v>0</v>
      </c>
      <c r="K909" s="113">
        <v>0</v>
      </c>
      <c r="L909" s="113">
        <v>0</v>
      </c>
      <c r="M909" s="113">
        <v>0</v>
      </c>
      <c r="N909" s="114">
        <v>0</v>
      </c>
      <c r="O909" s="114">
        <v>0</v>
      </c>
      <c r="P909" s="115">
        <v>0</v>
      </c>
      <c r="Q909" s="112">
        <v>0</v>
      </c>
    </row>
    <row r="910" spans="2:17" x14ac:dyDescent="0.25">
      <c r="B910" s="111">
        <v>0</v>
      </c>
      <c r="C910" s="111">
        <v>0</v>
      </c>
      <c r="D910" s="21">
        <v>0</v>
      </c>
      <c r="E910" s="112">
        <v>0</v>
      </c>
      <c r="F910" s="111">
        <v>0</v>
      </c>
      <c r="G910" s="111">
        <v>0</v>
      </c>
      <c r="H910" s="21">
        <v>0</v>
      </c>
      <c r="I910" s="21">
        <v>0</v>
      </c>
      <c r="J910" s="113">
        <v>0</v>
      </c>
      <c r="K910" s="113">
        <v>0</v>
      </c>
      <c r="L910" s="113">
        <v>0</v>
      </c>
      <c r="M910" s="113">
        <v>0</v>
      </c>
      <c r="N910" s="114">
        <v>0</v>
      </c>
      <c r="O910" s="114">
        <v>0</v>
      </c>
      <c r="P910" s="115">
        <v>0</v>
      </c>
      <c r="Q910" s="112">
        <v>0</v>
      </c>
    </row>
    <row r="911" spans="2:17" x14ac:dyDescent="0.25">
      <c r="B911" s="111">
        <v>0</v>
      </c>
      <c r="C911" s="111">
        <v>0</v>
      </c>
      <c r="D911" s="21">
        <v>0</v>
      </c>
      <c r="E911" s="112">
        <v>0</v>
      </c>
      <c r="F911" s="111">
        <v>0</v>
      </c>
      <c r="G911" s="111">
        <v>0</v>
      </c>
      <c r="H911" s="21">
        <v>0</v>
      </c>
      <c r="I911" s="21">
        <v>0</v>
      </c>
      <c r="J911" s="113">
        <v>0</v>
      </c>
      <c r="K911" s="113">
        <v>0</v>
      </c>
      <c r="L911" s="113">
        <v>0</v>
      </c>
      <c r="M911" s="113">
        <v>0</v>
      </c>
      <c r="N911" s="114">
        <v>0</v>
      </c>
      <c r="O911" s="114">
        <v>0</v>
      </c>
      <c r="P911" s="115">
        <v>0</v>
      </c>
      <c r="Q911" s="112">
        <v>0</v>
      </c>
    </row>
    <row r="912" spans="2:17" x14ac:dyDescent="0.25">
      <c r="B912" s="111">
        <v>0</v>
      </c>
      <c r="C912" s="111">
        <v>0</v>
      </c>
      <c r="D912" s="21">
        <v>0</v>
      </c>
      <c r="E912" s="112">
        <v>0</v>
      </c>
      <c r="F912" s="111">
        <v>0</v>
      </c>
      <c r="G912" s="111">
        <v>0</v>
      </c>
      <c r="H912" s="21">
        <v>0</v>
      </c>
      <c r="I912" s="21">
        <v>0</v>
      </c>
      <c r="J912" s="113">
        <v>0</v>
      </c>
      <c r="K912" s="113">
        <v>0</v>
      </c>
      <c r="L912" s="113">
        <v>0</v>
      </c>
      <c r="M912" s="113">
        <v>0</v>
      </c>
      <c r="N912" s="114">
        <v>0</v>
      </c>
      <c r="O912" s="114">
        <v>0</v>
      </c>
      <c r="P912" s="115">
        <v>0</v>
      </c>
      <c r="Q912" s="112">
        <v>0</v>
      </c>
    </row>
    <row r="913" spans="2:17" x14ac:dyDescent="0.25">
      <c r="B913" s="111">
        <v>0</v>
      </c>
      <c r="C913" s="111">
        <v>0</v>
      </c>
      <c r="D913" s="21">
        <v>0</v>
      </c>
      <c r="E913" s="112">
        <v>0</v>
      </c>
      <c r="F913" s="111">
        <v>0</v>
      </c>
      <c r="G913" s="111">
        <v>0</v>
      </c>
      <c r="H913" s="21">
        <v>0</v>
      </c>
      <c r="I913" s="21">
        <v>0</v>
      </c>
      <c r="J913" s="113">
        <v>0</v>
      </c>
      <c r="K913" s="113">
        <v>0</v>
      </c>
      <c r="L913" s="113">
        <v>0</v>
      </c>
      <c r="M913" s="113">
        <v>0</v>
      </c>
      <c r="N913" s="114">
        <v>0</v>
      </c>
      <c r="O913" s="114">
        <v>0</v>
      </c>
      <c r="P913" s="115">
        <v>0</v>
      </c>
      <c r="Q913" s="112">
        <v>0</v>
      </c>
    </row>
    <row r="914" spans="2:17" x14ac:dyDescent="0.25">
      <c r="B914" s="111">
        <v>0</v>
      </c>
      <c r="C914" s="111">
        <v>0</v>
      </c>
      <c r="D914" s="21">
        <v>0</v>
      </c>
      <c r="E914" s="112">
        <v>0</v>
      </c>
      <c r="F914" s="111">
        <v>0</v>
      </c>
      <c r="G914" s="111">
        <v>0</v>
      </c>
      <c r="H914" s="21">
        <v>0</v>
      </c>
      <c r="I914" s="21">
        <v>0</v>
      </c>
      <c r="J914" s="113">
        <v>0</v>
      </c>
      <c r="K914" s="113">
        <v>0</v>
      </c>
      <c r="L914" s="113">
        <v>0</v>
      </c>
      <c r="M914" s="113">
        <v>0</v>
      </c>
      <c r="N914" s="114">
        <v>0</v>
      </c>
      <c r="O914" s="114">
        <v>0</v>
      </c>
      <c r="P914" s="115">
        <v>0</v>
      </c>
      <c r="Q914" s="112">
        <v>0</v>
      </c>
    </row>
    <row r="915" spans="2:17" x14ac:dyDescent="0.25">
      <c r="B915" s="111">
        <v>0</v>
      </c>
      <c r="C915" s="111">
        <v>0</v>
      </c>
      <c r="D915" s="21">
        <v>0</v>
      </c>
      <c r="E915" s="112">
        <v>0</v>
      </c>
      <c r="F915" s="111">
        <v>0</v>
      </c>
      <c r="G915" s="111">
        <v>0</v>
      </c>
      <c r="H915" s="21">
        <v>0</v>
      </c>
      <c r="I915" s="21">
        <v>0</v>
      </c>
      <c r="J915" s="113">
        <v>0</v>
      </c>
      <c r="K915" s="113">
        <v>0</v>
      </c>
      <c r="L915" s="113">
        <v>0</v>
      </c>
      <c r="M915" s="113">
        <v>0</v>
      </c>
      <c r="N915" s="114">
        <v>0</v>
      </c>
      <c r="O915" s="114">
        <v>0</v>
      </c>
      <c r="P915" s="115">
        <v>0</v>
      </c>
      <c r="Q915" s="112">
        <v>0</v>
      </c>
    </row>
    <row r="916" spans="2:17" x14ac:dyDescent="0.25">
      <c r="B916" s="111">
        <v>0</v>
      </c>
      <c r="C916" s="111">
        <v>0</v>
      </c>
      <c r="D916" s="21">
        <v>0</v>
      </c>
      <c r="E916" s="112">
        <v>0</v>
      </c>
      <c r="F916" s="111">
        <v>0</v>
      </c>
      <c r="G916" s="111">
        <v>0</v>
      </c>
      <c r="H916" s="21">
        <v>0</v>
      </c>
      <c r="I916" s="21">
        <v>0</v>
      </c>
      <c r="J916" s="113">
        <v>0</v>
      </c>
      <c r="K916" s="113">
        <v>0</v>
      </c>
      <c r="L916" s="113">
        <v>0</v>
      </c>
      <c r="M916" s="113">
        <v>0</v>
      </c>
      <c r="N916" s="114">
        <v>0</v>
      </c>
      <c r="O916" s="114">
        <v>0</v>
      </c>
      <c r="P916" s="115">
        <v>0</v>
      </c>
      <c r="Q916" s="112">
        <v>0</v>
      </c>
    </row>
    <row r="917" spans="2:17" x14ac:dyDescent="0.25">
      <c r="B917" s="111">
        <v>0</v>
      </c>
      <c r="C917" s="111">
        <v>0</v>
      </c>
      <c r="D917" s="21">
        <v>0</v>
      </c>
      <c r="E917" s="112">
        <v>0</v>
      </c>
      <c r="F917" s="111">
        <v>0</v>
      </c>
      <c r="G917" s="111">
        <v>0</v>
      </c>
      <c r="H917" s="21">
        <v>0</v>
      </c>
      <c r="I917" s="21">
        <v>0</v>
      </c>
      <c r="J917" s="113">
        <v>0</v>
      </c>
      <c r="K917" s="113">
        <v>0</v>
      </c>
      <c r="L917" s="113">
        <v>0</v>
      </c>
      <c r="M917" s="113">
        <v>0</v>
      </c>
      <c r="N917" s="114">
        <v>0</v>
      </c>
      <c r="O917" s="114">
        <v>0</v>
      </c>
      <c r="P917" s="115">
        <v>0</v>
      </c>
      <c r="Q917" s="112">
        <v>0</v>
      </c>
    </row>
    <row r="918" spans="2:17" x14ac:dyDescent="0.25">
      <c r="B918" s="111">
        <v>0</v>
      </c>
      <c r="C918" s="111">
        <v>0</v>
      </c>
      <c r="D918" s="21">
        <v>0</v>
      </c>
      <c r="E918" s="112">
        <v>0</v>
      </c>
      <c r="F918" s="111">
        <v>0</v>
      </c>
      <c r="G918" s="111">
        <v>0</v>
      </c>
      <c r="H918" s="21">
        <v>0</v>
      </c>
      <c r="I918" s="21">
        <v>0</v>
      </c>
      <c r="J918" s="113">
        <v>0</v>
      </c>
      <c r="K918" s="113">
        <v>0</v>
      </c>
      <c r="L918" s="113">
        <v>0</v>
      </c>
      <c r="M918" s="113">
        <v>0</v>
      </c>
      <c r="N918" s="114">
        <v>0</v>
      </c>
      <c r="O918" s="114">
        <v>0</v>
      </c>
      <c r="P918" s="115">
        <v>0</v>
      </c>
      <c r="Q918" s="112">
        <v>0</v>
      </c>
    </row>
    <row r="919" spans="2:17" x14ac:dyDescent="0.25">
      <c r="B919" s="111">
        <v>0</v>
      </c>
      <c r="C919" s="111">
        <v>0</v>
      </c>
      <c r="D919" s="21">
        <v>0</v>
      </c>
      <c r="E919" s="112">
        <v>0</v>
      </c>
      <c r="F919" s="111">
        <v>0</v>
      </c>
      <c r="G919" s="111">
        <v>0</v>
      </c>
      <c r="H919" s="21">
        <v>0</v>
      </c>
      <c r="I919" s="21">
        <v>0</v>
      </c>
      <c r="J919" s="113">
        <v>0</v>
      </c>
      <c r="K919" s="113">
        <v>0</v>
      </c>
      <c r="L919" s="113">
        <v>0</v>
      </c>
      <c r="M919" s="113">
        <v>0</v>
      </c>
      <c r="N919" s="114">
        <v>0</v>
      </c>
      <c r="O919" s="114">
        <v>0</v>
      </c>
      <c r="P919" s="115">
        <v>0</v>
      </c>
      <c r="Q919" s="112">
        <v>0</v>
      </c>
    </row>
    <row r="920" spans="2:17" x14ac:dyDescent="0.25">
      <c r="B920" s="111">
        <v>0</v>
      </c>
      <c r="C920" s="111">
        <v>0</v>
      </c>
      <c r="D920" s="21">
        <v>0</v>
      </c>
      <c r="E920" s="112">
        <v>0</v>
      </c>
      <c r="F920" s="111">
        <v>0</v>
      </c>
      <c r="G920" s="111">
        <v>0</v>
      </c>
      <c r="H920" s="21">
        <v>0</v>
      </c>
      <c r="I920" s="21">
        <v>0</v>
      </c>
      <c r="J920" s="113">
        <v>0</v>
      </c>
      <c r="K920" s="113">
        <v>0</v>
      </c>
      <c r="L920" s="113">
        <v>0</v>
      </c>
      <c r="M920" s="113">
        <v>0</v>
      </c>
      <c r="N920" s="114">
        <v>0</v>
      </c>
      <c r="O920" s="114">
        <v>0</v>
      </c>
      <c r="P920" s="115">
        <v>0</v>
      </c>
      <c r="Q920" s="112">
        <v>0</v>
      </c>
    </row>
    <row r="921" spans="2:17" x14ac:dyDescent="0.25">
      <c r="B921" s="111">
        <v>0</v>
      </c>
      <c r="C921" s="111">
        <v>0</v>
      </c>
      <c r="D921" s="21">
        <v>0</v>
      </c>
      <c r="E921" s="112">
        <v>0</v>
      </c>
      <c r="F921" s="111">
        <v>0</v>
      </c>
      <c r="G921" s="111">
        <v>0</v>
      </c>
      <c r="H921" s="21">
        <v>0</v>
      </c>
      <c r="I921" s="21">
        <v>0</v>
      </c>
      <c r="J921" s="113">
        <v>0</v>
      </c>
      <c r="K921" s="113">
        <v>0</v>
      </c>
      <c r="L921" s="113">
        <v>0</v>
      </c>
      <c r="M921" s="113">
        <v>0</v>
      </c>
      <c r="N921" s="114">
        <v>0</v>
      </c>
      <c r="O921" s="114">
        <v>0</v>
      </c>
      <c r="P921" s="115">
        <v>0</v>
      </c>
      <c r="Q921" s="112">
        <v>0</v>
      </c>
    </row>
    <row r="922" spans="2:17" x14ac:dyDescent="0.25">
      <c r="B922" s="111">
        <v>0</v>
      </c>
      <c r="C922" s="111">
        <v>0</v>
      </c>
      <c r="D922" s="21">
        <v>0</v>
      </c>
      <c r="E922" s="112">
        <v>0</v>
      </c>
      <c r="F922" s="111">
        <v>0</v>
      </c>
      <c r="G922" s="111">
        <v>0</v>
      </c>
      <c r="H922" s="21">
        <v>0</v>
      </c>
      <c r="I922" s="21">
        <v>0</v>
      </c>
      <c r="J922" s="113">
        <v>0</v>
      </c>
      <c r="K922" s="113">
        <v>0</v>
      </c>
      <c r="L922" s="113">
        <v>0</v>
      </c>
      <c r="M922" s="113">
        <v>0</v>
      </c>
      <c r="N922" s="114">
        <v>0</v>
      </c>
      <c r="O922" s="114">
        <v>0</v>
      </c>
      <c r="P922" s="115">
        <v>0</v>
      </c>
      <c r="Q922" s="112">
        <v>0</v>
      </c>
    </row>
    <row r="923" spans="2:17" x14ac:dyDescent="0.25">
      <c r="B923" s="111">
        <v>0</v>
      </c>
      <c r="C923" s="111">
        <v>0</v>
      </c>
      <c r="D923" s="21">
        <v>0</v>
      </c>
      <c r="E923" s="112">
        <v>0</v>
      </c>
      <c r="F923" s="111">
        <v>0</v>
      </c>
      <c r="G923" s="111">
        <v>0</v>
      </c>
      <c r="H923" s="21">
        <v>0</v>
      </c>
      <c r="I923" s="21">
        <v>0</v>
      </c>
      <c r="J923" s="113">
        <v>0</v>
      </c>
      <c r="K923" s="113">
        <v>0</v>
      </c>
      <c r="L923" s="113">
        <v>0</v>
      </c>
      <c r="M923" s="113">
        <v>0</v>
      </c>
      <c r="N923" s="114">
        <v>0</v>
      </c>
      <c r="O923" s="114">
        <v>0</v>
      </c>
      <c r="P923" s="115">
        <v>0</v>
      </c>
      <c r="Q923" s="112">
        <v>0</v>
      </c>
    </row>
    <row r="924" spans="2:17" x14ac:dyDescent="0.25">
      <c r="B924" s="111">
        <v>0</v>
      </c>
      <c r="C924" s="111">
        <v>0</v>
      </c>
      <c r="D924" s="21">
        <v>0</v>
      </c>
      <c r="E924" s="112">
        <v>0</v>
      </c>
      <c r="F924" s="111">
        <v>0</v>
      </c>
      <c r="G924" s="111">
        <v>0</v>
      </c>
      <c r="H924" s="21">
        <v>0</v>
      </c>
      <c r="I924" s="21">
        <v>0</v>
      </c>
      <c r="J924" s="113">
        <v>0</v>
      </c>
      <c r="K924" s="113">
        <v>0</v>
      </c>
      <c r="L924" s="113">
        <v>0</v>
      </c>
      <c r="M924" s="113">
        <v>0</v>
      </c>
      <c r="N924" s="114">
        <v>0</v>
      </c>
      <c r="O924" s="114">
        <v>0</v>
      </c>
      <c r="P924" s="115">
        <v>0</v>
      </c>
      <c r="Q924" s="112">
        <v>0</v>
      </c>
    </row>
    <row r="925" spans="2:17" x14ac:dyDescent="0.25">
      <c r="B925" s="111">
        <v>0</v>
      </c>
      <c r="C925" s="111">
        <v>0</v>
      </c>
      <c r="D925" s="21">
        <v>0</v>
      </c>
      <c r="E925" s="112">
        <v>0</v>
      </c>
      <c r="F925" s="111">
        <v>0</v>
      </c>
      <c r="G925" s="111">
        <v>0</v>
      </c>
      <c r="H925" s="21">
        <v>0</v>
      </c>
      <c r="I925" s="21">
        <v>0</v>
      </c>
      <c r="J925" s="113">
        <v>0</v>
      </c>
      <c r="K925" s="113">
        <v>0</v>
      </c>
      <c r="L925" s="113">
        <v>0</v>
      </c>
      <c r="M925" s="113">
        <v>0</v>
      </c>
      <c r="N925" s="114">
        <v>0</v>
      </c>
      <c r="O925" s="114">
        <v>0</v>
      </c>
      <c r="P925" s="115">
        <v>0</v>
      </c>
      <c r="Q925" s="112">
        <v>0</v>
      </c>
    </row>
    <row r="926" spans="2:17" x14ac:dyDescent="0.25">
      <c r="B926" s="111">
        <v>0</v>
      </c>
      <c r="C926" s="111">
        <v>0</v>
      </c>
      <c r="D926" s="21">
        <v>0</v>
      </c>
      <c r="E926" s="112">
        <v>0</v>
      </c>
      <c r="F926" s="111">
        <v>0</v>
      </c>
      <c r="G926" s="111">
        <v>0</v>
      </c>
      <c r="H926" s="21">
        <v>0</v>
      </c>
      <c r="I926" s="21">
        <v>0</v>
      </c>
      <c r="J926" s="113">
        <v>0</v>
      </c>
      <c r="K926" s="113">
        <v>0</v>
      </c>
      <c r="L926" s="113">
        <v>0</v>
      </c>
      <c r="M926" s="113">
        <v>0</v>
      </c>
      <c r="N926" s="114">
        <v>0</v>
      </c>
      <c r="O926" s="114">
        <v>0</v>
      </c>
      <c r="P926" s="115">
        <v>0</v>
      </c>
      <c r="Q926" s="112">
        <v>0</v>
      </c>
    </row>
    <row r="927" spans="2:17" x14ac:dyDescent="0.25">
      <c r="B927" s="111">
        <v>0</v>
      </c>
      <c r="C927" s="111">
        <v>0</v>
      </c>
      <c r="D927" s="21">
        <v>0</v>
      </c>
      <c r="E927" s="112">
        <v>0</v>
      </c>
      <c r="F927" s="111">
        <v>0</v>
      </c>
      <c r="G927" s="111">
        <v>0</v>
      </c>
      <c r="H927" s="21">
        <v>0</v>
      </c>
      <c r="I927" s="21">
        <v>0</v>
      </c>
      <c r="J927" s="113">
        <v>0</v>
      </c>
      <c r="K927" s="113">
        <v>0</v>
      </c>
      <c r="L927" s="113">
        <v>0</v>
      </c>
      <c r="M927" s="113">
        <v>0</v>
      </c>
      <c r="N927" s="114">
        <v>0</v>
      </c>
      <c r="O927" s="114">
        <v>0</v>
      </c>
      <c r="P927" s="115">
        <v>0</v>
      </c>
      <c r="Q927" s="112">
        <v>0</v>
      </c>
    </row>
    <row r="928" spans="2:17" x14ac:dyDescent="0.25">
      <c r="B928" s="111">
        <v>0</v>
      </c>
      <c r="C928" s="111">
        <v>0</v>
      </c>
      <c r="D928" s="21">
        <v>0</v>
      </c>
      <c r="E928" s="112">
        <v>0</v>
      </c>
      <c r="F928" s="111">
        <v>0</v>
      </c>
      <c r="G928" s="111">
        <v>0</v>
      </c>
      <c r="H928" s="21">
        <v>0</v>
      </c>
      <c r="I928" s="21">
        <v>0</v>
      </c>
      <c r="J928" s="113">
        <v>0</v>
      </c>
      <c r="K928" s="113">
        <v>0</v>
      </c>
      <c r="L928" s="113">
        <v>0</v>
      </c>
      <c r="M928" s="113">
        <v>0</v>
      </c>
      <c r="N928" s="114">
        <v>0</v>
      </c>
      <c r="O928" s="114">
        <v>0</v>
      </c>
      <c r="P928" s="115">
        <v>0</v>
      </c>
      <c r="Q928" s="112">
        <v>0</v>
      </c>
    </row>
    <row r="929" spans="2:17" x14ac:dyDescent="0.25">
      <c r="B929" s="111">
        <v>0</v>
      </c>
      <c r="C929" s="111">
        <v>0</v>
      </c>
      <c r="D929" s="21">
        <v>0</v>
      </c>
      <c r="E929" s="112">
        <v>0</v>
      </c>
      <c r="F929" s="111">
        <v>0</v>
      </c>
      <c r="G929" s="111">
        <v>0</v>
      </c>
      <c r="H929" s="21">
        <v>0</v>
      </c>
      <c r="I929" s="21">
        <v>0</v>
      </c>
      <c r="J929" s="113">
        <v>0</v>
      </c>
      <c r="K929" s="113">
        <v>0</v>
      </c>
      <c r="L929" s="113">
        <v>0</v>
      </c>
      <c r="M929" s="113">
        <v>0</v>
      </c>
      <c r="N929" s="114">
        <v>0</v>
      </c>
      <c r="O929" s="114">
        <v>0</v>
      </c>
      <c r="P929" s="115">
        <v>0</v>
      </c>
      <c r="Q929" s="112">
        <v>0</v>
      </c>
    </row>
    <row r="930" spans="2:17" x14ac:dyDescent="0.25">
      <c r="B930" s="111">
        <v>0</v>
      </c>
      <c r="C930" s="111">
        <v>0</v>
      </c>
      <c r="D930" s="21">
        <v>0</v>
      </c>
      <c r="E930" s="112">
        <v>0</v>
      </c>
      <c r="F930" s="111">
        <v>0</v>
      </c>
      <c r="G930" s="111">
        <v>0</v>
      </c>
      <c r="H930" s="21">
        <v>0</v>
      </c>
      <c r="I930" s="21">
        <v>0</v>
      </c>
      <c r="J930" s="113">
        <v>0</v>
      </c>
      <c r="K930" s="113">
        <v>0</v>
      </c>
      <c r="L930" s="113">
        <v>0</v>
      </c>
      <c r="M930" s="113">
        <v>0</v>
      </c>
      <c r="N930" s="114">
        <v>0</v>
      </c>
      <c r="O930" s="114">
        <v>0</v>
      </c>
      <c r="P930" s="115">
        <v>0</v>
      </c>
      <c r="Q930" s="112">
        <v>0</v>
      </c>
    </row>
    <row r="931" spans="2:17" x14ac:dyDescent="0.25">
      <c r="B931" s="111">
        <v>0</v>
      </c>
      <c r="C931" s="111">
        <v>0</v>
      </c>
      <c r="D931" s="21">
        <v>0</v>
      </c>
      <c r="E931" s="112">
        <v>0</v>
      </c>
      <c r="F931" s="111">
        <v>0</v>
      </c>
      <c r="G931" s="111">
        <v>0</v>
      </c>
      <c r="H931" s="21">
        <v>0</v>
      </c>
      <c r="I931" s="21">
        <v>0</v>
      </c>
      <c r="J931" s="113">
        <v>0</v>
      </c>
      <c r="K931" s="113">
        <v>0</v>
      </c>
      <c r="L931" s="113">
        <v>0</v>
      </c>
      <c r="M931" s="113">
        <v>0</v>
      </c>
      <c r="N931" s="114">
        <v>0</v>
      </c>
      <c r="O931" s="114">
        <v>0</v>
      </c>
      <c r="P931" s="115">
        <v>0</v>
      </c>
      <c r="Q931" s="112">
        <v>0</v>
      </c>
    </row>
    <row r="932" spans="2:17" x14ac:dyDescent="0.25">
      <c r="B932" s="111">
        <v>0</v>
      </c>
      <c r="C932" s="111">
        <v>0</v>
      </c>
      <c r="D932" s="21">
        <v>0</v>
      </c>
      <c r="E932" s="112">
        <v>0</v>
      </c>
      <c r="F932" s="111">
        <v>0</v>
      </c>
      <c r="G932" s="111">
        <v>0</v>
      </c>
      <c r="H932" s="21">
        <v>0</v>
      </c>
      <c r="I932" s="21">
        <v>0</v>
      </c>
      <c r="J932" s="113">
        <v>0</v>
      </c>
      <c r="K932" s="113">
        <v>0</v>
      </c>
      <c r="L932" s="113">
        <v>0</v>
      </c>
      <c r="M932" s="113">
        <v>0</v>
      </c>
      <c r="N932" s="114">
        <v>0</v>
      </c>
      <c r="O932" s="114">
        <v>0</v>
      </c>
      <c r="P932" s="115">
        <v>0</v>
      </c>
      <c r="Q932" s="112">
        <v>0</v>
      </c>
    </row>
    <row r="933" spans="2:17" x14ac:dyDescent="0.25">
      <c r="B933" s="111">
        <v>0</v>
      </c>
      <c r="C933" s="111">
        <v>0</v>
      </c>
      <c r="D933" s="21">
        <v>0</v>
      </c>
      <c r="E933" s="112">
        <v>0</v>
      </c>
      <c r="F933" s="111">
        <v>0</v>
      </c>
      <c r="G933" s="111">
        <v>0</v>
      </c>
      <c r="H933" s="21">
        <v>0</v>
      </c>
      <c r="I933" s="21">
        <v>0</v>
      </c>
      <c r="J933" s="113">
        <v>0</v>
      </c>
      <c r="K933" s="113">
        <v>0</v>
      </c>
      <c r="L933" s="113">
        <v>0</v>
      </c>
      <c r="M933" s="113">
        <v>0</v>
      </c>
      <c r="N933" s="114">
        <v>0</v>
      </c>
      <c r="O933" s="114">
        <v>0</v>
      </c>
      <c r="P933" s="115">
        <v>0</v>
      </c>
      <c r="Q933" s="112">
        <v>0</v>
      </c>
    </row>
    <row r="934" spans="2:17" x14ac:dyDescent="0.25">
      <c r="B934" s="111">
        <v>0</v>
      </c>
      <c r="C934" s="111">
        <v>0</v>
      </c>
      <c r="D934" s="21">
        <v>0</v>
      </c>
      <c r="E934" s="112">
        <v>0</v>
      </c>
      <c r="F934" s="111">
        <v>0</v>
      </c>
      <c r="G934" s="111">
        <v>0</v>
      </c>
      <c r="H934" s="21">
        <v>0</v>
      </c>
      <c r="I934" s="21">
        <v>0</v>
      </c>
      <c r="J934" s="113">
        <v>0</v>
      </c>
      <c r="K934" s="113">
        <v>0</v>
      </c>
      <c r="L934" s="113">
        <v>0</v>
      </c>
      <c r="M934" s="113">
        <v>0</v>
      </c>
      <c r="N934" s="114">
        <v>0</v>
      </c>
      <c r="O934" s="114">
        <v>0</v>
      </c>
      <c r="P934" s="115">
        <v>0</v>
      </c>
      <c r="Q934" s="112">
        <v>0</v>
      </c>
    </row>
    <row r="935" spans="2:17" x14ac:dyDescent="0.25">
      <c r="B935" s="111">
        <v>0</v>
      </c>
      <c r="C935" s="111">
        <v>0</v>
      </c>
      <c r="D935" s="21">
        <v>0</v>
      </c>
      <c r="E935" s="112">
        <v>0</v>
      </c>
      <c r="F935" s="111">
        <v>0</v>
      </c>
      <c r="G935" s="111">
        <v>0</v>
      </c>
      <c r="H935" s="21">
        <v>0</v>
      </c>
      <c r="I935" s="21">
        <v>0</v>
      </c>
      <c r="J935" s="113">
        <v>0</v>
      </c>
      <c r="K935" s="113">
        <v>0</v>
      </c>
      <c r="L935" s="113">
        <v>0</v>
      </c>
      <c r="M935" s="113">
        <v>0</v>
      </c>
      <c r="N935" s="114">
        <v>0</v>
      </c>
      <c r="O935" s="114">
        <v>0</v>
      </c>
      <c r="P935" s="115">
        <v>0</v>
      </c>
      <c r="Q935" s="112">
        <v>0</v>
      </c>
    </row>
    <row r="936" spans="2:17" x14ac:dyDescent="0.25">
      <c r="B936" s="111">
        <v>0</v>
      </c>
      <c r="C936" s="111">
        <v>0</v>
      </c>
      <c r="D936" s="21">
        <v>0</v>
      </c>
      <c r="E936" s="112">
        <v>0</v>
      </c>
      <c r="F936" s="111">
        <v>0</v>
      </c>
      <c r="G936" s="111">
        <v>0</v>
      </c>
      <c r="H936" s="21">
        <v>0</v>
      </c>
      <c r="I936" s="21">
        <v>0</v>
      </c>
      <c r="J936" s="113">
        <v>0</v>
      </c>
      <c r="K936" s="113">
        <v>0</v>
      </c>
      <c r="L936" s="113">
        <v>0</v>
      </c>
      <c r="M936" s="113">
        <v>0</v>
      </c>
      <c r="N936" s="114">
        <v>0</v>
      </c>
      <c r="O936" s="114">
        <v>0</v>
      </c>
      <c r="P936" s="115">
        <v>0</v>
      </c>
      <c r="Q936" s="112">
        <v>0</v>
      </c>
    </row>
    <row r="937" spans="2:17" x14ac:dyDescent="0.25">
      <c r="B937" s="111">
        <v>0</v>
      </c>
      <c r="C937" s="111">
        <v>0</v>
      </c>
      <c r="D937" s="21">
        <v>0</v>
      </c>
      <c r="E937" s="112">
        <v>0</v>
      </c>
      <c r="F937" s="111">
        <v>0</v>
      </c>
      <c r="G937" s="111">
        <v>0</v>
      </c>
      <c r="H937" s="21">
        <v>0</v>
      </c>
      <c r="I937" s="21">
        <v>0</v>
      </c>
      <c r="J937" s="113">
        <v>0</v>
      </c>
      <c r="K937" s="113">
        <v>0</v>
      </c>
      <c r="L937" s="113">
        <v>0</v>
      </c>
      <c r="M937" s="113">
        <v>0</v>
      </c>
      <c r="N937" s="114">
        <v>0</v>
      </c>
      <c r="O937" s="114">
        <v>0</v>
      </c>
      <c r="P937" s="115">
        <v>0</v>
      </c>
      <c r="Q937" s="112">
        <v>0</v>
      </c>
    </row>
    <row r="938" spans="2:17" x14ac:dyDescent="0.25">
      <c r="B938" s="111">
        <v>0</v>
      </c>
      <c r="C938" s="111">
        <v>0</v>
      </c>
      <c r="D938" s="21">
        <v>0</v>
      </c>
      <c r="E938" s="112">
        <v>0</v>
      </c>
      <c r="F938" s="111">
        <v>0</v>
      </c>
      <c r="G938" s="111">
        <v>0</v>
      </c>
      <c r="H938" s="21">
        <v>0</v>
      </c>
      <c r="I938" s="21">
        <v>0</v>
      </c>
      <c r="J938" s="113">
        <v>0</v>
      </c>
      <c r="K938" s="113">
        <v>0</v>
      </c>
      <c r="L938" s="113">
        <v>0</v>
      </c>
      <c r="M938" s="113">
        <v>0</v>
      </c>
      <c r="N938" s="114">
        <v>0</v>
      </c>
      <c r="O938" s="114">
        <v>0</v>
      </c>
      <c r="P938" s="115">
        <v>0</v>
      </c>
      <c r="Q938" s="112">
        <v>0</v>
      </c>
    </row>
    <row r="939" spans="2:17" x14ac:dyDescent="0.25">
      <c r="B939" s="111">
        <v>0</v>
      </c>
      <c r="C939" s="111">
        <v>0</v>
      </c>
      <c r="D939" s="21">
        <v>0</v>
      </c>
      <c r="E939" s="112">
        <v>0</v>
      </c>
      <c r="F939" s="111">
        <v>0</v>
      </c>
      <c r="G939" s="111">
        <v>0</v>
      </c>
      <c r="H939" s="21">
        <v>0</v>
      </c>
      <c r="I939" s="21">
        <v>0</v>
      </c>
      <c r="J939" s="113">
        <v>0</v>
      </c>
      <c r="K939" s="113">
        <v>0</v>
      </c>
      <c r="L939" s="113">
        <v>0</v>
      </c>
      <c r="M939" s="113">
        <v>0</v>
      </c>
      <c r="N939" s="114">
        <v>0</v>
      </c>
      <c r="O939" s="114">
        <v>0</v>
      </c>
      <c r="P939" s="115">
        <v>0</v>
      </c>
      <c r="Q939" s="112">
        <v>0</v>
      </c>
    </row>
    <row r="940" spans="2:17" x14ac:dyDescent="0.25">
      <c r="B940" s="111">
        <v>0</v>
      </c>
      <c r="C940" s="111">
        <v>0</v>
      </c>
      <c r="D940" s="21">
        <v>0</v>
      </c>
      <c r="E940" s="112">
        <v>0</v>
      </c>
      <c r="F940" s="111">
        <v>0</v>
      </c>
      <c r="G940" s="111">
        <v>0</v>
      </c>
      <c r="H940" s="21">
        <v>0</v>
      </c>
      <c r="I940" s="21">
        <v>0</v>
      </c>
      <c r="J940" s="113">
        <v>0</v>
      </c>
      <c r="K940" s="113">
        <v>0</v>
      </c>
      <c r="L940" s="113">
        <v>0</v>
      </c>
      <c r="M940" s="113">
        <v>0</v>
      </c>
      <c r="N940" s="114">
        <v>0</v>
      </c>
      <c r="O940" s="114">
        <v>0</v>
      </c>
      <c r="P940" s="115">
        <v>0</v>
      </c>
      <c r="Q940" s="112">
        <v>0</v>
      </c>
    </row>
  </sheetData>
  <sheetProtection sheet="1" selectLockedCells="1" sort="0" autoFilter="0" pivotTables="0"/>
  <autoFilter ref="B5:Q2046" xr:uid="{4500F0C1-8A44-4D65-858D-03BBF99715E7}"/>
  <mergeCells count="2">
    <mergeCell ref="B2:Q3"/>
    <mergeCell ref="S6:T7"/>
  </mergeCells>
  <conditionalFormatting sqref="B6:Q2000">
    <cfRule type="expression" dxfId="10" priority="1">
      <formula>AND($O6 &lt;&gt; "",$O6&lt;TODAY(), $L6 &lt;&gt; 0)</formula>
    </cfRule>
    <cfRule type="expression" dxfId="9" priority="2">
      <formula>$L6="Removed"</formula>
    </cfRule>
    <cfRule type="expression" dxfId="8" priority="3">
      <formula>$L6="3 Years"</formula>
    </cfRule>
    <cfRule type="expression" dxfId="7" priority="4">
      <formula>$L6="2 Years"</formula>
    </cfRule>
    <cfRule type="expression" dxfId="6" priority="5">
      <formula>$L6="18 Months"</formula>
    </cfRule>
    <cfRule type="expression" dxfId="5" priority="6">
      <formula>$L6="365 Days"</formula>
    </cfRule>
    <cfRule type="expression" dxfId="4" priority="7">
      <formula>$L6="180 Days"</formula>
    </cfRule>
    <cfRule type="expression" dxfId="3" priority="8">
      <formula>$L6="120 Days"</formula>
    </cfRule>
    <cfRule type="expression" dxfId="2" priority="9">
      <formula>$L6="90 Days"</formula>
    </cfRule>
    <cfRule type="expression" dxfId="1" priority="10">
      <formula>$L6="60 Days"</formula>
    </cfRule>
    <cfRule type="expression" dxfId="0" priority="11">
      <formula>$L6="30 Days"</formula>
    </cfRule>
  </conditionalFormatting>
  <dataValidations count="1">
    <dataValidation type="list" allowBlank="1" showInputMessage="1" showErrorMessage="1" sqref="L2:L3 L5 L885:L1048576" xr:uid="{10FADF49-BCFB-4D38-885C-88A5FE5A2086}">
      <formula1>$S$8:$S$17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BUILDING</vt:lpstr>
      <vt:lpstr>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Hernandez</dc:creator>
  <cp:lastModifiedBy>Farraw Duque</cp:lastModifiedBy>
  <dcterms:created xsi:type="dcterms:W3CDTF">2025-08-07T15:47:49Z</dcterms:created>
  <dcterms:modified xsi:type="dcterms:W3CDTF">2026-01-27T16:45:11Z</dcterms:modified>
</cp:coreProperties>
</file>